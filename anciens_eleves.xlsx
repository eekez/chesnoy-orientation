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9FAE1FAD-F20F-4ADF-AA78-B423738FB848}" xr6:coauthVersionLast="47" xr6:coauthVersionMax="47" xr10:uidLastSave="{00000000-0000-0000-0000-000000000000}"/>
  <bookViews>
    <workbookView xWindow="-120" yWindow="-120" windowWidth="29040" windowHeight="15840" activeTab="1"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119" i="2" l="1"/>
  <c r="B118" i="2"/>
  <c r="B73" i="2"/>
  <c r="B181" i="1"/>
  <c r="B182" i="1"/>
  <c r="B183" i="1"/>
  <c r="B184" i="1"/>
  <c r="B146" i="1"/>
  <c r="B2" i="1"/>
  <c r="B3" i="1"/>
  <c r="B196" i="1"/>
  <c r="B195" i="1"/>
  <c r="B194" i="1"/>
  <c r="B193" i="1"/>
  <c r="B192" i="1"/>
  <c r="B191" i="1"/>
  <c r="B190" i="1"/>
  <c r="B189" i="1"/>
  <c r="B188" i="1"/>
  <c r="B187" i="1"/>
  <c r="B186" i="1"/>
  <c r="B185"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4" i="1"/>
  <c r="B5" i="1"/>
  <c r="B2" i="2"/>
  <c r="B3" i="2"/>
  <c r="B4" i="2"/>
  <c r="B5" i="2"/>
  <c r="B6" i="2"/>
  <c r="B7" i="2"/>
  <c r="B6" i="1"/>
  <c r="B8" i="2"/>
  <c r="B9" i="2"/>
  <c r="B7" i="1"/>
  <c r="B8" i="1"/>
  <c r="B9" i="1"/>
  <c r="B10" i="2"/>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128" i="2"/>
  <c r="B127" i="2"/>
  <c r="B126" i="2"/>
  <c r="B125" i="2"/>
  <c r="B124" i="2"/>
  <c r="B123" i="2"/>
  <c r="B122" i="2"/>
  <c r="B121" i="2"/>
  <c r="B120"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2" i="1"/>
  <c r="B111" i="1"/>
  <c r="B110" i="1"/>
  <c r="B109" i="1"/>
  <c r="B108" i="1"/>
  <c r="B107" i="1"/>
  <c r="B106" i="1"/>
  <c r="B105" i="1"/>
  <c r="B104" i="1"/>
  <c r="B103" i="1"/>
  <c r="B102" i="1"/>
  <c r="B101" i="1"/>
  <c r="B100" i="1"/>
  <c r="B99" i="1"/>
  <c r="B98" i="1"/>
  <c r="B97" i="1"/>
  <c r="B96" i="1"/>
</calcChain>
</file>

<file path=xl/sharedStrings.xml><?xml version="1.0" encoding="utf-8"?>
<sst xmlns="http://schemas.openxmlformats.org/spreadsheetml/2006/main" count="3176" uniqueCount="1308">
  <si>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</si>
  <si>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</si>
  <si>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</si>
  <si>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</si>
  <si>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</si>
  <si>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</si>
  <si>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</si>
  <si>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</si>
  <si>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</si>
  <si>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</si>
  <si>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</si>
  <si>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</si>
  <si>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</si>
  <si>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</si>
  <si>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</si>
  <si>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</si>
  <si>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</si>
  <si>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</si>
  <si>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</si>
  <si>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</si>
  <si>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</si>
  <si>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</si>
  <si>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</si>
  <si>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</si>
  <si>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</si>
  <si>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</si>
  <si>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</si>
  <si>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</si>
  <si>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</si>
  <si>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</si>
  <si>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</si>
  <si>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</si>
  <si>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</si>
  <si>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</si>
  <si>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</si>
  <si>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</si>
  <si>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</si>
  <si>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</si>
  <si>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</si>
  <si>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</si>
  <si>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</si>
  <si>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</si>
  <si>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</si>
  <si>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</si>
  <si>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</si>
  <si>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</si>
  <si>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</si>
  <si>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</si>
  <si>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</si>
  <si>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</si>
  <si>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</si>
  <si>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</si>
  <si>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</si>
  <si>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</si>
  <si>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</si>
  <si>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</si>
  <si>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</si>
  <si>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</si>
  <si>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</si>
  <si>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</si>
  <si>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</si>
  <si>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</si>
  <si>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</si>
  <si>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</si>
  <si>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</si>
  <si>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</si>
  <si>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</si>
  <si>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</si>
  <si>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</si>
  <si>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</si>
  <si>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</si>
  <si>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</si>
  <si>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</si>
  <si>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</si>
  <si>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</si>
  <si>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</si>
  <si>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</si>
  <si>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</si>
  <si>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</si>
  <si>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</si>
  <si>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</si>
  <si>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</si>
  <si>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</si>
  <si>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</si>
  <si>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</si>
  <si>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</si>
  <si>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</si>
  <si>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</si>
  <si>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</si>
  <si>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</si>
  <si>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</si>
  <si>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</si>
  <si>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</si>
  <si>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</si>
  <si>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</si>
  <si>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</si>
  <si>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</si>
  <si>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</si>
  <si>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</si>
  <si>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</si>
  <si>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</si>
  <si>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</si>
  <si>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</si>
  <si>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</si>
  <si>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</si>
  <si>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</si>
  <si>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</si>
  <si>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</si>
  <si>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</si>
  <si>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</si>
  <si>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</si>
  <si>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</si>
  <si>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</si>
  <si>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</si>
  <si>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</si>
  <si>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</si>
  <si>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</si>
  <si>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</si>
  <si>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</si>
  <si>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</si>
  <si>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</si>
  <si>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</si>
  <si>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</si>
  <si>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</si>
  <si>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</si>
  <si>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</si>
  <si>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</si>
  <si>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</si>
  <si>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</si>
  <si>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</si>
  <si>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</si>
  <si>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</si>
  <si>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</si>
  <si>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</si>
  <si>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</si>
  <si>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</si>
  <si>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</si>
  <si>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</si>
  <si>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</si>
  <si>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</si>
  <si>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</si>
  <si>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</si>
  <si>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</si>
  <si>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</si>
  <si>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</si>
  <si>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</si>
  <si>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</si>
  <si>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</si>
  <si>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</si>
  <si>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</si>
  <si>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</si>
  <si>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</si>
  <si>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</si>
  <si>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</si>
  <si>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</si>
  <si>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</si>
  <si>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</si>
  <si>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</si>
  <si>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</si>
  <si>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</si>
  <si>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</si>
  <si>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</si>
  <si>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</si>
  <si>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</si>
  <si>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</si>
  <si>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</si>
  <si>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</si>
  <si>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</si>
  <si>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</si>
  <si>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</si>
  <si>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</si>
  <si>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</si>
  <si>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</si>
  <si>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</si>
  <si>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</si>
  <si>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</si>
  <si>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</si>
  <si>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</si>
  <si>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</si>
  <si>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</si>
  <si>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</si>
  <si>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</si>
  <si>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</si>
  <si>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</si>
  <si>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</si>
  <si>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</si>
  <si>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</si>
  <si>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</si>
  <si>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</si>
  <si>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</si>
  <si>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</si>
  <si>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</si>
  <si>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</si>
  <si>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</si>
  <si>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</si>
  <si>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</si>
  <si>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</si>
  <si>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</si>
  <si>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</si>
  <si>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</si>
  <si>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</si>
  <si>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</si>
  <si>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</si>
  <si>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</si>
  <si>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</si>
  <si>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</si>
  <si>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</si>
  <si>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</si>
  <si>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</si>
  <si>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</si>
  <si>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</si>
  <si>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</si>
  <si>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</si>
  <si>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</si>
  <si>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</si>
  <si>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</si>
  <si>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</si>
  <si>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</si>
  <si>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</si>
  <si>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</si>
  <si>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</si>
  <si>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</si>
  <si>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</si>
  <si>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</si>
  <si>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</si>
  <si>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</si>
  <si>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</si>
  <si>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</si>
  <si>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</si>
  <si>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</si>
  <si>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</si>
  <si>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</si>
  <si>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</si>
  <si>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</si>
  <si>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</si>
  <si>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</si>
  <si>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</si>
  <si>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</si>
  <si>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</si>
  <si>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</si>
  <si>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</si>
  <si>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</si>
  <si>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</si>
  <si>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</si>
  <si>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</si>
  <si>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</si>
  <si>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</si>
  <si>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</si>
  <si>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</si>
  <si>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</si>
  <si>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</si>
  <si>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</si>
  <si>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</si>
  <si>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</si>
  <si>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</si>
  <si>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</si>
  <si>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</si>
  <si>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</si>
  <si>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</si>
  <si>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</si>
  <si>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</si>
  <si>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</si>
  <si>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</si>
  <si>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</si>
  <si>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</si>
  <si>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</si>
  <si>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</si>
  <si>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</si>
  <si>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</si>
  <si>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</si>
  <si>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</si>
  <si>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</si>
  <si>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</si>
  <si>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</si>
  <si>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</si>
  <si>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</si>
  <si>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</si>
  <si>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</si>
  <si>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</si>
  <si>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</si>
  <si>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</si>
  <si>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</si>
  <si>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</si>
  <si>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</si>
  <si>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</si>
  <si>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</si>
  <si>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</si>
  <si>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</si>
  <si>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</si>
  <si>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</si>
  <si>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</si>
  <si>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</si>
  <si>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</si>
  <si>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</si>
  <si>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</si>
  <si>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</si>
  <si>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</si>
  <si>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</si>
  <si>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</si>
  <si>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</si>
  <si>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</si>
  <si>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</si>
  <si>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</si>
  <si>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</si>
  <si>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</si>
  <si>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</si>
  <si>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</si>
  <si>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</si>
  <si>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</si>
  <si>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</si>
  <si>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</si>
  <si>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</si>
  <si>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</si>
  <si>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</si>
  <si>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</si>
  <si>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</si>
  <si>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</si>
  <si>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</si>
  <si>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</si>
  <si>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</si>
  <si>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</si>
  <si>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</si>
  <si>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</si>
  <si>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</si>
  <si>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</si>
  <si>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</si>
  <si>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</si>
  <si>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</si>
  <si>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</si>
  <si>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</si>
  <si>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</si>
  <si>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</si>
  <si>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</si>
  <si>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</si>
  <si>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</si>
  <si>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</si>
  <si>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</si>
  <si>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</si>
  <si>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</si>
  <si>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</si>
  <si>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</si>
  <si>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</si>
  <si>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</si>
  <si>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</si>
  <si>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</si>
  <si>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</si>
  <si>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</si>
  <si>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</si>
  <si>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</si>
  <si>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</si>
  <si>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</si>
  <si>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</si>
  <si>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</si>
  <si>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</si>
  <si>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</si>
  <si>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</si>
  <si>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</si>
  <si>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</si>
  <si>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</si>
  <si>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</si>
  <si>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</si>
  <si>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</si>
  <si>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</si>
  <si>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</si>
  <si>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</si>
  <si>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</si>
  <si>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</si>
  <si>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</si>
  <si>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</si>
  <si>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</si>
  <si>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</si>
  <si>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</si>
  <si>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</si>
  <si>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</si>
  <si>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</si>
  <si>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</si>
  <si>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</si>
  <si>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</si>
  <si>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</si>
  <si>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</si>
  <si>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</si>
  <si>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</si>
  <si>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</si>
  <si>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</si>
  <si>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</si>
  <si>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</si>
  <si>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</si>
  <si>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</si>
  <si>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</si>
  <si>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</si>
  <si>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</si>
  <si>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</si>
  <si>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</si>
  <si>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</si>
  <si>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</si>
  <si>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</si>
  <si>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</si>
  <si>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</si>
  <si>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</si>
  <si>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</si>
  <si>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</si>
  <si>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</si>
  <si>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</si>
  <si>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</si>
  <si>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</si>
  <si>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</si>
  <si>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</si>
  <si>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</si>
  <si>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</si>
  <si>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</si>
  <si>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</si>
  <si>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</si>
  <si>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</si>
  <si>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</si>
  <si>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</si>
  <si>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</si>
  <si>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</si>
  <si>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</si>
  <si>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</si>
  <si>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</si>
  <si>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</si>
  <si>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</si>
  <si>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</si>
  <si>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</si>
  <si>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</si>
  <si>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</si>
  <si>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</si>
  <si>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</si>
  <si>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</si>
  <si>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</si>
  <si>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</si>
  <si>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</si>
  <si>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</si>
  <si>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</si>
  <si>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</si>
  <si>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</si>
  <si>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</si>
  <si>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</si>
  <si>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</si>
  <si>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</si>
  <si>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</si>
  <si>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</si>
  <si>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</si>
  <si>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</si>
  <si>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</si>
  <si>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</si>
  <si>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</si>
  <si>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</si>
  <si>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</si>
  <si>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</si>
  <si>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</si>
  <si>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</si>
  <si>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</si>
  <si>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</si>
  <si>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</si>
  <si>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</si>
  <si>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</si>
  <si>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</si>
  <si>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</si>
  <si>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</si>
  <si>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</si>
  <si>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</si>
  <si>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</si>
  <si>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</si>
  <si>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</si>
  <si>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</si>
  <si>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</si>
  <si>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</si>
  <si>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</si>
  <si>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</si>
  <si>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</si>
  <si>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</si>
  <si>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</si>
  <si>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</si>
  <si>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</si>
  <si>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</si>
  <si>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</si>
  <si>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</si>
  <si>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</si>
  <si>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</si>
  <si>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</si>
  <si>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</si>
  <si>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</si>
  <si>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</si>
  <si>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</si>
  <si>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</si>
  <si>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</si>
  <si>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</si>
  <si>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</si>
  <si>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</si>
  <si>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</si>
  <si>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</si>
  <si>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</si>
  <si>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</si>
  <si>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</si>
  <si>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</si>
  <si>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</si>
  <si>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</si>
  <si>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</si>
  <si>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</si>
  <si>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</si>
  <si>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</si>
  <si>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</si>
  <si>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</si>
  <si>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</si>
  <si>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</si>
  <si>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</si>
  <si>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</si>
  <si>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</si>
  <si>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</si>
  <si>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</si>
  <si>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</si>
  <si>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</si>
  <si>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</si>
  <si>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</si>
  <si>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</si>
  <si>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</si>
  <si>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</si>
  <si>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</si>
  <si>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</si>
  <si>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</si>
  <si>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</si>
  <si>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</si>
  <si>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</si>
  <si>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</si>
  <si>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</si>
  <si>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</si>
  <si>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</si>
  <si>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</si>
  <si>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</si>
  <si>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</si>
  <si>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</si>
  <si>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</si>
  <si>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</si>
  <si>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</si>
  <si>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</si>
  <si>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</si>
  <si>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</si>
  <si>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</si>
  <si>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</si>
  <si>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</si>
  <si>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</si>
  <si>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</si>
  <si>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</si>
  <si>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</si>
  <si>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</si>
  <si>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</si>
  <si>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</si>
  <si>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</si>
  <si>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</si>
  <si>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</si>
  <si>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</si>
  <si>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</si>
  <si>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</si>
  <si>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</si>
  <si>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</si>
  <si>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</si>
  <si>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</si>
  <si>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</si>
  <si>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</si>
  <si>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</si>
  <si>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</si>
  <si>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</si>
  <si>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</si>
  <si>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</si>
  <si>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</si>
  <si>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</si>
  <si>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</si>
  <si>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</si>
  <si>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</si>
  <si>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</si>
  <si>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</si>
  <si>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</si>
  <si>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https://www.insa-lyon.fr</t>
  </si>
  <si>
    <t>[45.78264, 4.878073]</t>
  </si>
  <si>
    <t>https://external-content.duckduckgo.com/iu/?u=https%3A%2F%2Ftse4.mm.bing.net%2Fth%2Fid%2FOIP.PZwwfyiYVi1YOr4d2ni5hgHaFj%3Fpid%3DApi&amp;f=1&amp;ipt=109915e46179e292ca7142d5962488f1abc0c8533ded39f2553cad10875fb76b</t>
  </si>
  <si>
    <t>INSA Rouen</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</si>
  <si>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</si>
  <si>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</si>
  <si>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</si>
  <si>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</si>
  <si>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</si>
  <si>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</si>
  <si>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</si>
  <si>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</si>
  <si>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</si>
  <si>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</si>
  <si>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</si>
  <si>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</si>
  <si>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</si>
  <si>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</si>
  <si>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</si>
  <si>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</si>
  <si>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</si>
  <si>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</si>
  <si>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</si>
  <si>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</si>
  <si>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</si>
  <si>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</si>
  <si>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</si>
  <si>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</si>
  <si>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</si>
  <si>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</si>
  <si>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</si>
  <si>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</si>
  <si>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</si>
  <si>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</si>
  <si>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</si>
  <si>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</si>
  <si>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</si>
  <si>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</si>
  <si>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</si>
  <si>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</si>
  <si>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</si>
  <si>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</si>
  <si>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</si>
  <si>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</si>
  <si>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</si>
  <si>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</si>
  <si>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</si>
  <si>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</si>
  <si>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</si>
  <si>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</si>
  <si>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</si>
  <si>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</si>
  <si>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</si>
  <si>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</si>
  <si>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</si>
  <si>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</si>
  <si>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</si>
  <si>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</si>
  <si>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</si>
  <si>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</si>
  <si>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</si>
  <si>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https://www.univ-rennes.fr/</t>
  </si>
  <si>
    <t>[48.11778701671989, -1.6394211005481605]</t>
  </si>
  <si>
    <t>https://external-content.duckduckgo.com/iu/?u=https%3A%2F%2Fwww.enia.fr%2Fprojects%2Fdiapos%2FRennes_62052e403b4db.jpeg&amp;f=1&amp;nofb=1&amp;ipt=fe0539dbde145a8afeb284841f13f9f133425e63d78d98257d9b5ce687790bfb</t>
  </si>
  <si>
    <t>[49.3872, 1.0696]</t>
  </si>
  <si>
    <t>https://external-content.duckduckgo.com/iu/?u=https%3A%2F%2Ftse4.mm.bing.net%2Fth%2Fid%2FOIP.hQBPV110ztdznQG-LjzAawHaEj%3Fcb%3Ducfimg2%26pid%3DApi%26ucfimg%3D1&amp;f=1&amp;ipt=fa1c85c39273bb5b9149abc3ea8b19e47c59e218208bb9ce9b087f5211a0332d&amp;ipo=images</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</si>
  <si>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</si>
  <si>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</si>
  <si>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</si>
  <si>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</si>
  <si>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</si>
  <si>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</si>
  <si>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</si>
  <si>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</si>
  <si>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</si>
  <si>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</si>
  <si>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</si>
  <si>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</si>
  <si>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</si>
  <si>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</si>
  <si>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</si>
  <si>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</si>
  <si>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</si>
  <si>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</si>
  <si>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</si>
  <si>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</si>
  <si>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</si>
  <si>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</si>
  <si>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</si>
  <si>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</si>
  <si>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</si>
  <si>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</si>
  <si>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</si>
  <si>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</si>
  <si>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</si>
  <si>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</si>
  <si>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</si>
  <si>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</si>
  <si>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</si>
  <si>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</si>
  <si>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</si>
  <si>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</si>
  <si>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</si>
  <si>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</si>
  <si>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</si>
  <si>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</si>
  <si>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</si>
  <si>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</si>
  <si>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</si>
  <si>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</si>
  <si>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</si>
  <si>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</si>
  <si>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</si>
  <si>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</si>
  <si>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</si>
  <si>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</si>
  <si>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</si>
  <si>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</si>
  <si>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</si>
  <si>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</si>
  <si>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</si>
  <si>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</si>
  <si>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</si>
  <si>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https://www.entpe.fr</t>
  </si>
  <si>
    <t>[45.7797, 4.8597]</t>
  </si>
  <si>
    <t>https://external-content.duckduckgo.com/iu/?u=http%3A%2F%2Fice-ingenierie.fr%2Fwp-content%2Fuploads%2F2017%2F07%2FENTPE-2.jpg&amp;f=1&amp;nofb=1&amp;ipt=2daa6fda816a63e2467fdf56d01df10813621b357b5a59d3719e2fe8a600f234</t>
  </si>
  <si>
    <t>EIVP Paris</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</si>
  <si>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</si>
  <si>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</si>
  <si>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</si>
  <si>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</si>
  <si>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</si>
  <si>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</si>
  <si>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</si>
  <si>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</si>
  <si>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</si>
  <si>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</si>
  <si>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</si>
  <si>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</si>
  <si>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</si>
  <si>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</si>
  <si>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</si>
  <si>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</si>
  <si>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</si>
  <si>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</si>
  <si>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</si>
  <si>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</si>
  <si>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</si>
  <si>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</si>
  <si>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</si>
  <si>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</si>
  <si>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</si>
  <si>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</si>
  <si>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</si>
  <si>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</si>
  <si>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</si>
  <si>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</si>
  <si>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</si>
  <si>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</si>
  <si>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</si>
  <si>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</si>
  <si>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</si>
  <si>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</si>
  <si>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</si>
  <si>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</si>
  <si>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</si>
  <si>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</si>
  <si>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</si>
  <si>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</si>
  <si>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</si>
  <si>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</si>
  <si>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</si>
  <si>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</si>
  <si>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</si>
  <si>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</si>
  <si>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</si>
  <si>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</si>
  <si>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</si>
  <si>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</si>
  <si>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</si>
  <si>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</si>
  <si>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</si>
  <si>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</si>
  <si>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</si>
  <si>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</si>
  <si>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</si>
  <si>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</si>
  <si>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</si>
  <si>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</si>
  <si>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</si>
  <si>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</si>
  <si>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</si>
  <si>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</si>
  <si>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</si>
  <si>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</si>
  <si>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</si>
  <si>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</si>
  <si>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</si>
  <si>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</si>
  <si>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</si>
  <si>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</si>
  <si>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</si>
  <si>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</si>
  <si>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</si>
  <si>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</si>
  <si>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</si>
  <si>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</si>
  <si>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</si>
  <si>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</si>
  <si>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</si>
  <si>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</si>
  <si>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</si>
  <si>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</si>
  <si>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</si>
  <si>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</si>
  <si>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</si>
  <si>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</si>
  <si>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</si>
  <si>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</si>
  <si>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</si>
  <si>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</si>
  <si>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</si>
  <si>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</si>
  <si>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</si>
  <si>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</si>
  <si>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</si>
  <si>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</si>
  <si>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</si>
  <si>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</si>
  <si>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</si>
  <si>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</si>
  <si>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</si>
  <si>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</si>
  <si>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</si>
  <si>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</si>
  <si>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</si>
  <si>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</si>
  <si>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</si>
  <si>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</si>
  <si>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</si>
  <si>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</si>
  <si>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</si>
  <si>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</si>
  <si>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</si>
  <si>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</si>
  <si>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</si>
  <si>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</si>
  <si>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</si>
  <si>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</si>
  <si>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</si>
  <si>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</si>
  <si>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</si>
  <si>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</si>
  <si>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</si>
  <si>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</si>
  <si>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</si>
  <si>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</si>
  <si>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</si>
  <si>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</si>
  <si>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</si>
  <si>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</si>
  <si>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</si>
  <si>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</si>
  <si>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</si>
  <si>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</si>
  <si>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</si>
  <si>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</si>
  <si>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</si>
  <si>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</si>
  <si>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</si>
  <si>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</si>
  <si>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</si>
  <si>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</si>
  <si>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</si>
  <si>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</si>
  <si>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</si>
  <si>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</si>
  <si>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</si>
  <si>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</si>
  <si>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</si>
  <si>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</si>
  <si>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</si>
  <si>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</si>
  <si>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</si>
  <si>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</si>
  <si>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</si>
  <si>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</si>
  <si>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</si>
  <si>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</si>
  <si>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</si>
  <si>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</si>
  <si>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</si>
  <si>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</si>
  <si>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</si>
  <si>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</si>
  <si>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</si>
  <si>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</si>
  <si>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</si>
  <si>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</si>
  <si>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</si>
  <si>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</si>
  <si>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</si>
  <si>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</si>
  <si>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</si>
  <si>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</si>
  <si>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</si>
  <si>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</si>
  <si>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</si>
  <si>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</si>
  <si>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</si>
  <si>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</si>
  <si>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</si>
  <si>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</si>
  <si>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</si>
  <si>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</si>
  <si>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</si>
  <si>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</si>
  <si>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</si>
  <si>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</si>
  <si>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</si>
  <si>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</si>
  <si>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</si>
  <si>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</si>
  <si>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</si>
  <si>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</si>
  <si>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</si>
  <si>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</si>
  <si>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</si>
  <si>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</si>
  <si>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</si>
  <si>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</si>
  <si>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</si>
  <si>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</si>
  <si>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</si>
  <si>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</si>
  <si>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</si>
  <si>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</si>
  <si>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</si>
  <si>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</si>
  <si>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</si>
  <si>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</si>
  <si>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</si>
  <si>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</si>
  <si>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</si>
  <si>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</si>
  <si>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</si>
  <si>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</si>
  <si>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</si>
  <si>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</si>
  <si>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</si>
  <si>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</si>
  <si>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</si>
  <si>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</si>
  <si>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</si>
  <si>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</si>
  <si>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</si>
  <si>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</si>
  <si>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</si>
  <si>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</si>
  <si>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</si>
  <si>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</si>
  <si>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</si>
  <si>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</si>
  <si>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</si>
  <si>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</si>
  <si>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</si>
  <si>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</si>
  <si>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</si>
  <si>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</si>
  <si>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</si>
  <si>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</si>
  <si>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</si>
  <si>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</si>
  <si>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</si>
  <si>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</si>
  <si>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</si>
  <si>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</si>
  <si>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</si>
  <si>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</si>
  <si>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</si>
  <si>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</si>
  <si>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</si>
  <si>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</si>
  <si>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</si>
  <si>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</si>
  <si>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</si>
  <si>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</si>
  <si>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</si>
  <si>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</si>
  <si>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</si>
  <si>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</si>
  <si>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</si>
  <si>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</si>
  <si>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</si>
  <si>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</si>
  <si>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HAMAÎMA</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</si>
  <si>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</si>
  <si>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</si>
  <si>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</si>
  <si>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</si>
  <si>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</si>
  <si>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</si>
  <si>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</si>
  <si>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</si>
  <si>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</si>
  <si>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</si>
  <si>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</si>
  <si>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</si>
  <si>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</si>
  <si>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</si>
  <si>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</si>
  <si>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</si>
  <si>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</si>
  <si>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</si>
  <si>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</si>
  <si>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</si>
  <si>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</si>
  <si>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</si>
  <si>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</si>
  <si>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</si>
  <si>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</si>
  <si>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</si>
  <si>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</si>
  <si>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</si>
  <si>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</si>
  <si>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</si>
  <si>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</si>
  <si>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</si>
  <si>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</si>
  <si>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</si>
  <si>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</si>
  <si>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</si>
  <si>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</si>
  <si>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</si>
  <si>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</si>
  <si>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</si>
  <si>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</si>
  <si>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</si>
  <si>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</si>
  <si>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</si>
  <si>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</si>
  <si>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</si>
  <si>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</si>
  <si>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</si>
  <si>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</si>
  <si>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</si>
  <si>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</si>
  <si>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</si>
  <si>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</si>
  <si>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</si>
  <si>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</si>
  <si>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</si>
  <si>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</si>
  <si>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</si>
  <si>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</si>
  <si>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</si>
  <si>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</si>
  <si>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</si>
  <si>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</si>
  <si>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</si>
  <si>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</si>
  <si>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</si>
  <si>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</si>
  <si>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</si>
  <si>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 xml:space="preserve">BURDIN </t>
  </si>
  <si>
    <t xml:space="preserve">CAMUS </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</si>
  <si>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</si>
  <si>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</si>
  <si>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</si>
  <si>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</si>
  <si>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</si>
  <si>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</si>
  <si>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</si>
  <si>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</si>
  <si>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</si>
  <si>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</si>
  <si>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</si>
  <si>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</si>
  <si>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</si>
  <si>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</si>
  <si>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</si>
  <si>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</si>
  <si>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</si>
  <si>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</si>
  <si>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</si>
  <si>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</si>
  <si>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</si>
  <si>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</si>
  <si>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</si>
  <si>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</si>
  <si>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</si>
  <si>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</si>
  <si>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</si>
  <si>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</si>
  <si>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</si>
  <si>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</si>
  <si>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</si>
  <si>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</si>
  <si>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</si>
  <si>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</si>
  <si>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</si>
  <si>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</si>
  <si>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</si>
  <si>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</si>
  <si>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</si>
  <si>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</si>
  <si>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 xml:space="preserve">MERCIER </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</si>
  <si>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</si>
  <si>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</si>
  <si>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</si>
  <si>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</si>
  <si>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</si>
  <si>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</si>
  <si>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</si>
  <si>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</si>
  <si>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</si>
  <si>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</si>
  <si>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</si>
  <si>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</si>
  <si>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</si>
  <si>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</si>
  <si>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</si>
  <si>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</si>
  <si>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</si>
  <si>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</si>
  <si>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</si>
  <si>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</si>
  <si>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</si>
  <si>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</si>
  <si>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</si>
  <si>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</si>
  <si>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</si>
  <si>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</si>
  <si>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</si>
  <si>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</si>
  <si>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</si>
  <si>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</si>
  <si>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</si>
  <si>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</si>
  <si>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</si>
  <si>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</si>
  <si>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</si>
  <si>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</si>
  <si>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</si>
  <si>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</si>
  <si>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</si>
  <si>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</si>
  <si>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</si>
  <si>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</si>
  <si>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</si>
  <si>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</si>
  <si>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</si>
  <si>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</si>
  <si>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</si>
  <si>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</si>
  <si>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</si>
  <si>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</si>
  <si>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</si>
  <si>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</si>
  <si>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</si>
  <si>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</si>
  <si>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VADEN ABEELE</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</si>
  <si>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</si>
  <si>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</si>
  <si>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</si>
  <si>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</si>
  <si>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</si>
  <si>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</si>
  <si>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</si>
  <si>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</si>
  <si>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</si>
  <si>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</si>
  <si>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</si>
  <si>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</si>
  <si>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Après l'école</t>
  </si>
  <si>
    <t>Paysagiste conceptrice en cabinet</t>
  </si>
  <si>
    <t>Consultante R&amp;D en biotechnologies</t>
  </si>
  <si>
    <t>Gestion des milieux naturels</t>
  </si>
  <si>
    <t>Ingénieure biologiste cutanée</t>
  </si>
  <si>
    <t>Conseillere dans une COOP de noix</t>
  </si>
  <si>
    <t>Thèsarde en pologne</t>
  </si>
  <si>
    <t>Stages bien-être animal –Thèse sur transition dans l’élevage</t>
  </si>
  <si>
    <t>Ingénieur recherche CNRS</t>
  </si>
  <si>
    <t>Ingénieur CVC – Chargé d’affaires</t>
  </si>
  <si>
    <t>Technicienne en racea allaitantes</t>
  </si>
  <si>
    <t>Inspectrice ICPE</t>
  </si>
  <si>
    <t>Cheffe de projet agriculture urbaine</t>
  </si>
  <si>
    <t>Ingénieure affaires cliniques uromems</t>
  </si>
  <si>
    <t>Chargé de projets au conservatoire espaces naturels de l’allier</t>
  </si>
  <si>
    <t>DDT Chasse Faune sauvage pastoralisme</t>
  </si>
  <si>
    <t>Nutritionniste en parc zoologique/Thésarde/Enseignement</t>
  </si>
  <si>
    <t>Coordonatrice de projets de construction à Montréal</t>
  </si>
  <si>
    <t>Directeur exploitation 100% bio</t>
  </si>
  <si>
    <t>Chargée de restauration des milieux dans un syndicat des rivières</t>
  </si>
  <si>
    <t>Manager sélection animale</t>
  </si>
  <si>
    <t>Coordinateur production des biscuits Saint Michel</t>
  </si>
  <si>
    <t>Développeur logiciels milieu médical</t>
  </si>
  <si>
    <t>NORE</t>
  </si>
  <si>
    <t>Chef de service adjoint en DDETSPP</t>
  </si>
  <si>
    <t>Chargée de mission animation et communication en médiation environnementale</t>
  </si>
  <si>
    <t>Ingénieur en Bioproduction</t>
  </si>
  <si>
    <t>Ingénieure en production laitière</t>
  </si>
  <si>
    <t>Ingénieur en institut de Recherche</t>
  </si>
  <si>
    <t>Salarié agricole</t>
  </si>
  <si>
    <t>AgroParisTech est une grande école d’ingénieurs agronomes, membre de l’Université Paris-Saclay. Le cursus ingénieur dure 3 ans (statut étudiant, apprentissage possible, élèves fonctionnaires) et associe sciences du vivant, sciences de l’ingénieur et sciences humaines, économiques et sociales, avec des dominantes d’approfondissement.</t>
  </si>
  <si>
    <t>Bordeaux Sciences Agro est une école publique d’ingénieurs agronomes, située à Gradignan près de Bordeaux. Le cursus ingénieur dure 3 ans (apprentissage possible) et s’appuie sur le vignoble voisin pour proposer des formations reconnues autour de la vigne et du vin, en plus de l’agronomie, de l’agroalimentaire et de l’agroécologie.</t>
  </si>
  <si>
    <t>Le campus de Rennes de l’Institut Agro Rennes-Angers (ex-Agrocampus Ouest) propose les cursus d’ingénieur agronome et d’ingénieur agroalimentaire, avec des spécialisations comme l’agroécologie, l’agroéconomie et les politiques publiques ou le management des entreprises de l’alimentation. L’halieutique (sciences de la mer et du littoral) fait aussi partie de l’offre de formation.</t>
  </si>
  <si>
    <t>L’Institut Agro Montpellier (ex-Montpellier SupAgro) forme des ingénieurs en agronomie, avec un cursus orienté vers l’agronomie et l’agroalimentaire durables, notamment pour les agricultures du Sud (méditerranéennes et tropicales). Il propose de nombreuses options en 3e année, un pôle fort sur la vigne et le vin, ainsi que des doubles diplômes avec des établissements partenaires.</t>
  </si>
  <si>
    <t>L’École nationale vétérinaire d’Alfort, à Maisons-Alfort près de Paris, est l’une des quatre écoles vétérinaires publiques françaises. Elle forme des docteurs vétérinaires en 6 ans et dispose d’un centre hospitalier universitaire vétérinaire, ainsi que d’un site dédié aux équidés en Normandie (Goustranville).</t>
  </si>
  <si>
    <t>L’École nationale vétérinaire de Toulouse, membre de l’Université de Toulouse, est l’une des quatre écoles vétérinaires publiques françaises. Elle forme des docteurs vétérinaires en 6 ans, avec un centre hospitalier universitaire vétérinaire (animaux de compagnie, équidés, animaux de production), des formations de spécialisation, un volet santé publique vétérinaire et un stage à l’étranger obligatoire.</t>
  </si>
  <si>
    <t>Le campus vétérinaire de VetAgro Sup se situe à Marcy-l’Étoile, près de Lyon. Il forme des docteurs vétérinaires et s’appuie sur trois centres hospitaliers universitaires vétérinaires (animaux de compagnie, équidés, animaux de production). VetAgro Sup est la seule structure française à former à la fois des vétérinaires, des ingénieurs agronomes et des inspecteurs de santé publique vétérinaire.</t>
  </si>
  <si>
    <t>Le site vétérinaire d’Oniris VetAgroBio, à Nantes, forme des docteurs vétérinaires au sein de l’une des quatre écoles vétérinaires publiques françaises, avec une approche « One Health » qui relie santé animale, santé humaine et environnement. L’école propose aussi un cursus d’ingénieur dans le domaine de l’alimentation (voir ONIRIS Nantes).</t>
  </si>
  <si>
    <t>L’ENGEES (École nationale du génie de l’eau et de l’environnement de Strasbourg) forme en 3 ans des ingénieurs (statut étudiant, apprenti ou fonctionnaire) aux métiers de l’eau et de l’environnement : eau potable, assainissement, ingénierie des cours d’eau et renaturation, gestion des déchets. Les diplômés travaillent notamment en bureaux d’études, en collectivités et dans les entreprises de l’eau.</t>
  </si>
  <si>
    <t>Géodata Paris (ex ENSG-Géomatique) est une école d’ingénieurs spécialisée en géomatique et en sciences de l’information géographique, située à Champs-sur-Marne. Elle recrute les élèves de BCPST via le concours G2E, avec un statut civil ou fonctionnaire. Les enseignements portent sur les données géographiques, la cartographie, la télédétection et leurs applications (environnement, aménagement, agriculture…).</t>
  </si>
  <si>
    <t>L’ESIR (École supérieure d’ingénieurs de Rennes, Université de Rennes) propose les spécialités informatique, matériaux, systèmes numériques et réseaux (en apprentissage) et technologies de l’information pour la santé. Les élèves de BCPST peuvent y accéder via le concours Polytech BCPST, notamment pour les technologies de l’information pour la santé et les matériaux.</t>
  </si>
  <si>
    <t>L’ISIFC (Institut supérieur d’ingénieurs de Franche-Comté), à Besançon, forme des ingénieurs en génie biomédical, avec une triple culture technique, médicale et réglementaire. En 3e année, les options sont la bio-ingénierie, la biomécanique et les microsystèmes, l’e-santé et la microrobotique pour la santé. Les élèves de BCPST y accèdent via le concours Polytech BCPST (13 places) ; 2 places sont ouvertes en TB.</t>
  </si>
  <si>
    <t>Polytech Clermont est une école d’ingénieurs du réseau Polytech. Les élèves de BCPST, de PC et de TB peuvent y intégrer la spécialité Génie biologique, centrée sur les biotechnologies durables et les bioprocédés, avec des applications comme le diagnostic, les matériaux biosourcés, la bioénergie et le bioraffinage.</t>
  </si>
  <si>
    <t>Polytech Tours est une école d’ingénieurs du réseau Polytech (Université de Tours). Les élèves de BCPST peuvent y intégrer la spécialité Génie de l’aménagement et de l’environnement via le concours Polytech BCPST, avec des enseignements liés à l’aménagement du territoire, à l’environnement et à la gestion de la ville et des réseaux.</t>
  </si>
  <si>
    <t>L’INSA Lyon est une grande école d’ingénieurs publique du groupe INSA, organisée en neuf départements : biosciences, génie civil et urbanisme, génie électrique, génie énergétique et environnement, génie industriel, génie mécanique, informatique, science et génie des matériaux et télécommunications. Les élèves de BCPST peuvent y accéder pour la spécialité biotechnologies et bioinformatique, via le recrutement commun du groupe INSA.</t>
  </si>
  <si>
    <t>L’INSA Rouen Normandie est une école d’ingénieurs publique du groupe INSA, installée à Saint-Étienne-du-Rouvray (avec une antenne au Havre). Elle propose notamment les spécialités génie civil et construction durable, énergétique et propulsion, mécanique, génie mathématique, architecture des systèmes d’information, ainsi que chimie et procédés et gestion des risques.</t>
  </si>
  <si>
    <t>L’INSA Toulouse est une grande école d’ingénieurs publique du groupe INSA, avec huit spécialités : génie biologique, génie des procédés et environnement, génie civil, génie mécanique, génie physique, automatique et électronique, génie mathématique et modélisation, informatique et réseaux. Le génie biologique et le génie des procédés et environnement sont les plus proches des profils BCPST (biotechnologies, bioprocédés, environnement).</t>
  </si>
  <si>
    <t>L’INSA Strasbourg est une école d’ingénieurs et d’architectes du groupe INSA. Elle propose sept spécialités d’ingénieur (génie civil, topographie, génie électrique, génie mécanique, plasturgie, mécatronique, génie climatique et énergétique) et délivre le diplôme d’architecte, ce qui en fait la seule école d’ingénieurs française à le faire.</t>
  </si>
  <si>
    <t>ESITech est l’école d’ingénieurs de l’Université de Rouen Normandie (Saint-Étienne-du-Rouvray), liée au groupe INSA. Elle propose deux spécialités : génie biologique (en convention avec l’INSA Rouen, options bioproduction et biotechnologies et produits de santé) et génie physique et santé (dispositifs médicaux, imagerie, biomécanique…). Elle recrute après CPGE sur dossier et épreuves orales, ou via le recrutement commun du groupe INSA.</t>
  </si>
  <si>
    <t>L’Université d’Orléans propose, notamment au sein de son Collegium Sciences et Techniques, des licences et masters scientifiques (sciences de la vie, sciences de la Terre, chimie, physique, mathématiques, informatique). Les étudiants issus de BCPST ou de TB peuvent candidater sur dossier pour poursuivre en licence ou en master.</t>
  </si>
  <si>
    <t>Le Mans Université propose, au sein de sa faculté des sciences et techniques, des licences en sciences de la vie, sciences de la Terre, physique-chimie et acoustique et vibrations, ainsi que des masters en acoustique et en chimie. L’université est reconnue pour son pôle d’acoustique. Les étudiants issus de BCPST ou de TB peuvent candidater sur dossier.</t>
  </si>
  <si>
    <t>Polytech Nice Sophia, à Sophia Antipolis, est l’école d’ingénieurs de l’Université Côte d’Azur (réseau Polytech). Elle propose notamment le génie biologique (pharmacologie, toxicologie, bio-informatique ; santé, cosmétique, arômes et parfums, environnement) et le génie de l’eau (ressource en eau, inondations, eau potable, eaux usées et pluviales), ainsi que le bâtiment, l’électronique, l’informatique et les mathématiques appliquées.</t>
  </si>
  <si>
    <t>L’EPISEN (École publique d’ingénieurs de la santé et du numérique), rattachée à l’Université Paris-Est Créteil, propose trois spécialités d’ingénieur à l’interface de la santé et du numérique : génie biomédical et santé, informatique et santé, systèmes d’information. Les élèves de BCPST peuvent y accéder via le concours Polytech BCPST, et l’apprentissage est possible.</t>
  </si>
  <si>
    <t>L’ESIAB (École supérieure d’ingénieurs en agroalimentaire de Bretagne atlantique), école interne de Bretagne INP et composante de l’Université de Bretagne Occidentale, propose deux spécialités d’ingénieur : agroalimentaire à Quimper (apprentissage possible) et microbiologie et sécurité sanitaire à Brest. Elle forme aux métiers de la production, de la qualité et de l’innovation dans l’industrie agroalimentaire.</t>
  </si>
  <si>
    <t>L’ENS Paris-Saclay (Gif-sur-Yvette) est une école normale supérieure pluridisciplinaire (sciences, ingénierie, sciences sociales). Elle recrute les élèves de BCPST et de TB via le concours ENS (15 places pour la voie BCPST), avec le statut d’élève fonctionnaire. La formation est tournée vers la recherche, jusqu’au master et au doctorat.</t>
  </si>
  <si>
    <t>AgroToulouse (Toulouse INP-ENSAT), à Castanet-Tolosan, forme en 3 ans des ingénieurs agronomes (apprentissage possible) dans les domaines de l’agriculture, de l’alimentation et de l’environnement, avec des spécialisations en 3e année (dont l’ingénierie agroalimentaire). L’école délivre aussi le diplôme national d’œnologue. L’admission se fait notamment via le concours Agro-Véto (94 places en BCPST, 8 en TB).</t>
  </si>
  <si>
    <t>L’ESBS (École supérieure de biotechnologie de Strasbourg), à Illkirch-Graffenstaden, forme des ingénieurs en biotechnologie, avec des spécialisations en analyse haut-débit, biologie synthétique, et bioproduction et biomédicaments. Elle propose aussi, avec l’ECPM, le diplôme ChemBiotech (chimie et biotechnologie). Elle recrute les élèves de BCPST via le concours Polytech BCPST (8 places), 2 places étant ouvertes en TB.</t>
  </si>
  <si>
    <t>Les universités toulousaines (notamment l’Université Toulouse III – Paul Sabatier) proposent des licences et masters scientifiques en sciences de la vie, sciences de la Terre, chimie, physique et mathématiques. Les étudiants issus de BCPST ou de TB peuvent candidater sur dossier pour poursuivre en licence ou en master.</t>
  </si>
  <si>
    <t>L’Université de Rennes propose des licences et masters scientifiques en sciences de la vie, sciences de la Terre et de l’environnement, chimie, physique et mathématiques. Les étudiants issus de BCPST ou de TB peuvent candidater sur dossier pour poursuivre en licence ou en master.</t>
  </si>
  <si>
    <t>L’UFR Sciences et Techniques de l’Université de Rouen Normandie (Mont-Saint-Aignan) propose des licences et masters scientifiques en sciences de la vie, chimie, physique, mathématiques et informatique. Les étudiants issus de BCPST ou de TB peuvent candidater sur dossier pour poursuivre en licence ou en master.</t>
  </si>
  <si>
    <t>L’Université d’Évry Paris-Saclay est implantée au cœur du Genopole, biocluster français consacré à la génomique et aux biotechnologies. Elle propose des licences et masters scientifiques, notamment dans les sciences de la vie. Les étudiants issus de BCPST ou de TB peuvent candidater sur dossier.</t>
  </si>
  <si>
    <t>La faculté des sciences d’Orsay, composante de l’Université Paris-Saclay, propose des licences et masters scientifiques (sciences de la vie, chimie, physique, mathématiques), adossés à de nombreux laboratoires de recherche. Les étudiants issus de BCPST ou de TB peuvent candidater sur dossier pour poursuivre en licence ou en master.</t>
  </si>
  <si>
    <t>L’ENS de Lyon est une école normale supérieure scientifique et littéraire. Elle recrute les élèves de BCPST via le concours ENS (environ 33 places, statut d’élève fonctionnaire). La formation est tournée vers la recherche (master, doctorat), avec un double cursus ingénieur-chercheur possible avec Centrale Lyon.</t>
  </si>
  <si>
    <t>L’École normale supérieure – PSL (rue d’Ulm, Paris) est une école normale supérieure pluridisciplinaire (sciences, lettres, sciences humaines) adossée à l’Université PSL. Elle recrute les élèves de BCPST via le concours ENS (environ 21 places, statut d’élève fonctionnaire). La formation est tournée vers la recherche, jusqu’au master et au doctorat.</t>
  </si>
  <si>
    <t>CentraleSupélec est une grande école d’ingénieurs généraliste du Groupe des écoles Centrale, sur le plateau de Paris-Saclay, avec des domaines forts en numérique et en énergie. Les élèves de BCPST peuvent y accéder via le concours Agro-Véto, pour un nombre limité de places (campus de Metz).</t>
  </si>
  <si>
    <t>L’École nationale supérieure de paysage (ENSP), à Versailles et Marseille, délivre le diplôme d’État de paysagiste (DEP), qui confère le grade de master. Le cycle dure 3 ans (apprentissage possible dès la 2e année) et mène au métier de paysagiste concepteur ; une admission en 2e année est possible sur titre avec un bac+3 (dossier et épreuves orales).</t>
  </si>
  <si>
    <t>IMT Mines Albi (Albi-Carmaux) est une école d’ingénieurs généraliste de l’Institut Mines-Télécom, avec des domaines forts en génie des procédés, énergie et matériaux. Elle recrute les élèves de BCPST via le concours G2E (7 places en 2026).</t>
  </si>
  <si>
    <t>IMT Mines Alès est une école d’ingénieurs généraliste de l’Institut Mines-Télécom, avec des domaines forts en risques, environnement et génie civil. Elle recrute les élèves de BCPST via le concours G2E (6 places en 2026).</t>
  </si>
  <si>
    <t>IMT Nord Europe est une école d’ingénieurs de l’Institut Mines-Télécom, implantée à Douai et à Lille, avec des domaines forts en énergie, environnement et numérique. Elle recrute les élèves de BCPST via le concours G2E (4 places en 2026).</t>
  </si>
  <si>
    <t>Polytech Annecy-Chambéry, école d’ingénieurs de l’Université Savoie Mont Blanc (réseau Polytech), propose cinq spécialités d’ingénieur, dont la spécialité Bâtiment (Bâtiment – Écoconstruction – Énergie) et la mécanique. Les études comprennent environ 39 semaines de stage sur l’ensemble du cursus.</t>
  </si>
  <si>
    <t>Polytech Sorbonne est l’école d’ingénieurs de Sorbonne Université (réseau Polytech), à Paris. Elle propose notamment les spécialités agroalimentaire, matériaux et sciences de la Terre (aménagement, risques, géo-énergies), accessibles aux élèves de BCPST via le concours Polytech BCPST, ainsi que l’électronique et informatique, la robotique, les mathématiques appliquées et le génie mécanique.</t>
  </si>
  <si>
    <t>Polytech Orléans est l’école d’ingénieurs de l’Université d’Orléans (réseau Polytech). Elle propose notamment les spécialités génie civil et environnement (parcours constructions durables, géo-environnement et villes durables, travaux publics et aménagement), énergétique, génie physique et systèmes embarqués, matériaux et mécatronique, et génie industriel (site de Chartres). Pour les élèves de BCPST, le concours Polytech BCPST ouvre notamment le génie civil et géo-environnement et le génie industriel pour la cosmétique, la pharmacie et l’agroalimentaire.</t>
  </si>
  <si>
    <t>L’ENTPE (École nationale des travaux publics de l’État), à Vaulx-en-Velin près de Lyon, se présente comme l’école de l’aménagement durable des territoires : génie civil, bâtiment, transports, énergie et environnement. Elle recrute les élèves de BCPST via le concours G2E, avec un statut civil ou fonctionnaire.</t>
  </si>
  <si>
    <t>L’EIVP (École des ingénieurs de la Ville de Paris) forme des ingénieurs en génie urbain : conception et gestion de la ville, infrastructures, eau, génie civil. Elle recrute les élèves de BCPST via le concours G2E (statut civil ou fonctionnaire) et débouche notamment sur des carrières dans les collectivités et les bureaux d’études.</t>
  </si>
  <si>
    <t>L’EOST (École et observatoire des sciences de la Terre), à Strasbourg, est la seule école d’ingénieurs géophysiciens de France. Elle recrute les élèves de BCPST via le concours G2E (13 places en 2026). Les parcours de 3e année comprennent notamment la géophysique appliquée à la géotechnique, à l’eau et à l’environnement, et les géosciences pour la transition énergétique ; les débouchés vont de l’exploration-production à la géotechnique.</t>
  </si>
  <si>
    <t>L’ENSG (École nationale supérieure de géologie), à Vandœuvre-lès-Nancy, est une école d’ingénieurs de l’Université de Lorraine créée en 1908, spécialisée en géosciences. Les parcours de 2e année couvrent les eaux et l’environnement, la géologie des énergies, la géologie numérique et les sciences des données, la géotechnique-génie civil, les matières premières minérales, et les réservoirs et stockages d’énergie. Elle recrute les élèves de BCPST via le concours G2E.</t>
  </si>
  <si>
    <t>L’École polytechnique (Palaiseau) est une grande école d’ingénieurs pluridisciplinaire à très forte dimension scientifique. Les élèves de BCPST peuvent l’intégrer via le concours X-BIO (13 places).</t>
  </si>
  <si>
    <t>Centrale Lyon, à Écully, est une école d’ingénieurs généraliste du Groupe Centrale, orientée vers l’industrie. Elle propose de nombreux doubles diplômes : ingénieur-chercheur avec l’ENS de Lyon, ingénieur-médecin, ingénieur-manager (emlyon), architecte-ingénieur (ENSAL), ingénieur-économètre (ENSAE). Elle ouvre des places aux élèves de BCPST via la banque ENS-Ponts-Mines Paris-Écoles Centrale (environ 5 places).</t>
  </si>
  <si>
    <t>Centrale Nantes est une école d’ingénieurs généraliste du Groupe Centrale, orientée vers l’industrie et le domaine maritime. Elle propose des doubles diplômes (ingénieur-architecte avec l’ENSA Nantes, ingénieur-manager avec Audencia, ingénieur-pharmacien avec Nantes Université) et l’apprentissage. Elle ouvre des places aux élèves de BCPST via la banque ENS-Ponts-Mines Paris-Écoles Centrale (environ 5 places).</t>
  </si>
  <si>
    <t>Centrale Méditerranée, à Marseille, est une école d’ingénieurs généraliste du Groupe Centrale, orientée vers l’industrie. Elle ouvre des places aux élèves de BCPST via la banque ENS-Ponts-Mines Paris-Écoles Centrale (environ 5 places).</t>
  </si>
  <si>
    <t>Mines Paris – PSL est une grande école d’ingénieurs généraliste, qui forme les ingénieurs civils des Mines. Les élèves de BCPST peuvent l’intégrer via la banque ENS-Ponts-Mines Paris-Écoles Centrale (environ 4 places).</t>
  </si>
  <si>
    <t>L’École des Ponts ParisTech (École nationale des ponts et chaussées), à Champs-sur-Marne, forme des ingénieurs généralistes (génie civil, ville, transports, environnement, ingénierie mathématique et informatique, génie industriel). Les élèves de BCPST peuvent l’intégrer via la banque ENS-Ponts-Mines Paris-Écoles Centrale (environ 4 places).</t>
  </si>
  <si>
    <t>Bordeaux INP est un réseau de grandes écoles d’ingénieurs. Les élèves de BCPST s’orientent notamment vers l’ENSTBB (biotechnologie), l’ENSMAC (ex-ENSCBP : agroalimentaire-génie biologique, chimie-génie physique, accessible via le concours PC BIO) ou l’ENSEGID (géoressources, environnement et ingénierie du développement durable, accessible via le concours G2E).</t>
  </si>
  <si>
    <t>Chimie ParisTech – PSL (École nationale supérieure de chimie de Paris) est une école d’ingénieurs spécialisée en chimie. Les élèves de BCPST peuvent l’intégrer via le concours PC BIO, qui ouvre un petit nombre de places.</t>
  </si>
  <si>
    <t>L’ENSC Lille (École nationale supérieure de chimie de Lille), école d’ingénieurs spécialisée en chimie, fait partie de Centrale Lille Institut. Les élèves de BCPST peuvent l’intégrer via le concours PC BIO, qui ouvre un petit nombre de places.</t>
  </si>
  <si>
    <t>L’ENSCM (École nationale supérieure de chimie de Montpellier) est une école d’ingénieurs spécialisée en chimie. Les élèves de BCPST peuvent l’intégrer via le concours PC BIO, qui ouvre un petit nombre de places.</t>
  </si>
  <si>
    <t>L’ESPCI Paris – PSL est une école d’ingénieurs scientifique, qui allie physique, chimie et biologie avec une forte orientation recherche. Les élèves de BCPST peuvent l’intégrer via le concours PC BIO, qui ouvre un petit nombre de places.</t>
  </si>
  <si>
    <t>L’ENSIC (École nationale supérieure des industries chimiques), à Nancy, est une école d’ingénieurs de Lorraine INP spécialisée dans le génie des procédés et la chimie. Les élèves de BCPST peuvent l’intégrer via le concours PC BIO, qui ouvre un petit nombre de places.</t>
  </si>
  <si>
    <t>Polytech Nantes est l’école d’ingénieurs de Nantes Université (réseau Polytech), avec des campus à Nantes, Saint-Nazaire et La Roche-sur-Yon. Les élèves de BCPST peuvent y intégrer la spécialité Génie des procédés et bioprocédés (site de Saint-Nazaire, 3 places via le concours Polytech BCPST), avec des options en 3e année : bio-industries, industries chimiques et écotechnologies, management de la qualité, de la sécurité et de l’environnement.</t>
  </si>
  <si>
    <t>Agronomie ; Sciences du vivant ; Sciences de l’ingénieur ; Sciences humaines, économiques et sociales ; Alimentation ; Environnement ; Dominantes d’approfondissement ; Apprentissage ; Élèves fonctionnaires ; Paris-Saclay</t>
  </si>
  <si>
    <t>Agronomie ; Vigne et vin ; Agroalimentaire ; Agroécologie ; Agreenium ; Apprentissage ; Gradignan</t>
  </si>
  <si>
    <t>Agronomie ; Industries alimentaires ; Production agroalimentaire ; Sciences et génie de l’environnement ; Biotechnologies ; Protection des cultures ; Formulation alimentaire ; Développement industriel ; Spécialisations ; Stages ; Mobilité internationale</t>
  </si>
  <si>
    <t>Agronomie ; Agroalimentaire ; Halieutique ; Mer et littoral ; Agroécologie ; Agroéconomie ; Politiques publiques ; Management des entreprises ; Spécialisations</t>
  </si>
  <si>
    <t>Agronomie ; Agroalimentaire ; Agricultures du Sud ; Méditerranée et tropiques ; Vigne et vin ; Systèmes agricoles durables ; Options de 3e année ; Double diplôme</t>
  </si>
  <si>
    <t>Médecine vétérinaire ; Docteur vétérinaire ; Santé animale ; Centre hospitalier universitaire vétérinaire ; Équidés ; Animaux de compagnie ; Maisons-Alfort ; Campus équin Normandie</t>
  </si>
  <si>
    <t>Médecine vétérinaire ; Docteur vétérinaire ; Centre hospitalier universitaire vétérinaire ; Animaux de compagnie ; Équidés ; Animaux de production ; Santé publique vétérinaire ; Spécialisation ; Stage à l’étranger</t>
  </si>
  <si>
    <t>Médecine vétérinaire ; Docteur vétérinaire ; Animaux de compagnie ; Équidés ; Animaux de production ; Centre hospitalier universitaire vétérinaire ; Inspecteur de santé publique vétérinaire ; Marcy-l’Étoile</t>
  </si>
  <si>
    <t>Médecine vétérinaire ; Docteur vétérinaire ; One Health ; Santé animale ; Santé publique ; Alimentation ; Nantes</t>
  </si>
  <si>
    <t>Eau potable ; Assainissement ; Cours d’eau ; Renaturation ; Gestion des déchets ; Environnement ; Bureaux d’études ; Collectivités ; Apprentissage ; Élèves fonctionnaires ; Strasbourg</t>
  </si>
  <si>
    <t>Géomatique ; Information géographique ; Systèmes d’information géographique ; Télédétection ; Cartographie ; Données spatiales ; Environnement ; Aménagement du territoire ; Concours G2E ; Élèves fonctionnaires</t>
  </si>
  <si>
    <t>Informatique ; Matériaux ; Systèmes numériques et réseaux ; Technologies de l’information pour la santé ; Santé numérique ; Apprentissage ; Concours Polytech BCPST</t>
  </si>
  <si>
    <t>Génie biomédical ; Dispositifs médicaux ; Bio-ingénierie ; Biomécanique ; Microsystèmes ; E-santé ; Microrobotique pour la santé ; Réglementation ; Besançon ; Concours Polytech BCPST</t>
  </si>
  <si>
    <t>Génie biologique ; Biotechnologies durables ; Bioprocédés ; Matériaux biosourcés ; Bioénergie ; Bioraffinage ; Diagnostic ; Concours Polytech BCPST</t>
  </si>
  <si>
    <t>Génie de l’aménagement et de l’environnement ; Aménagement du territoire ; Environnement ; Ville ; Réseaux ; Concours Polytech BCPST ; Tours</t>
  </si>
  <si>
    <t>Biosciences ; Biotechnologies et bioinformatique ; Génie civil et urbanisme ; Génie énergétique et environnement ; Génie industriel ; Génie mécanique ; Génie électrique ; Informatique ; Matériaux ; Télécommunications ; Groupe INSA</t>
  </si>
  <si>
    <t>Génie civil ; Construction durable ; Énergétique et propulsion ; Mécanique ; Génie mathématique ; Architecture des systèmes d’information ; Chimie et procédés ; Gestion des risques ; Groupe INSA</t>
  </si>
  <si>
    <t>Génie biologique ; Génie des procédés et environnement ; Biologie des systèmes ; Génie civil ; Génie mécanique ; Génie physique ; Automatique-électronique ; Génie mathématique et modélisation ; Informatique et réseaux ; Groupe INSA</t>
  </si>
  <si>
    <t>Génie civil ; Topographie ; Génie électrique ; Génie mécanique ; Plasturgie ; Mécatronique ; Génie climatique et énergétique ; Architecture ; Groupe INSA</t>
  </si>
  <si>
    <t>Génie biologique ; Bioproduction ; Biotechnologies et produits de santé ; Génie physique et santé ; Dispositifs médicaux ; Imagerie médicale ; Biomécanique ; Pharmacie ; Groupe INSA ; Rouen</t>
  </si>
  <si>
    <t>Sciences de la vie ; Sciences de la Terre ; Chimie ; Physique ; Licence ; Master ; Recherche ; Poursuite d’études sur dossier</t>
  </si>
  <si>
    <t>Sciences de la vie ; Sciences de la Terre ; Physique-chimie ; Acoustique et vibrations ; Licence ; Master ; Recherche ; Poursuite d’études sur dossier</t>
  </si>
  <si>
    <t>Génie biologique ; Pharmacologie ; Toxicologie ; Bio-informatique ; Cosmétique ; Arômes et parfums ; Génie de l’eau ; Inondations ; Bâtiment ; Électronique ; Informatique ; Sophia Antipolis</t>
  </si>
  <si>
    <t>Santé numérique ; Génie biomédical et santé ; Informatique et santé ; Systèmes d’information ; Apprentissage ; Concours Polytech BCPST ; Créteil</t>
  </si>
  <si>
    <t>Agroalimentaire ; Microbiologie ; Sécurité sanitaire ; Qualité ; Production ; Innovation ; Industrie agroalimentaire ; Apprentissage ; Quimper ; Brest</t>
  </si>
  <si>
    <t>Recherche ; Interdisciplinarité ; Biologie ; Master ; Doctorat ; Concours ENS BCPST ; Élèves fonctionnaires ; Gif-sur-Yvette</t>
  </si>
  <si>
    <t>Agronomie ; Agroalimentaire ; Environnement ; Œnologie ; Transition agroécologique ; Spécialisations de 3e année ; Apprentissage ; Agreenium ; Groupe INP ; Concours Agro-Véto</t>
  </si>
  <si>
    <t>Biotechnologies ; Analyse haut-débit ; Biologie synthétique ; Bioproduction ; Biomédicaments ; ChemBiotech ; Industrie pharmaceutique ; Santé ; Concours Polytech BCPST ; Strasbourg</t>
  </si>
  <si>
    <t>Sciences de la vie ; Sciences de la Terre ; Environnement ; Chimie ; Physique ; Licence ; Master ; Recherche ; Poursuite d’études sur dossier</t>
  </si>
  <si>
    <t>Sciences de la vie ; Chimie ; Physique ; Mathématiques ; Informatique ; Licence ; Master ; Recherche ; Poursuite d’études sur dossier</t>
  </si>
  <si>
    <t>Sciences de la vie ; Génomique ; Biotechnologies ; Genopole ; Licence ; Master ; Recherche ; Paris-Saclay ; Poursuite d’études sur dossier</t>
  </si>
  <si>
    <t>Sciences de la vie ; Chimie ; Physique ; Mathématiques ; Licence ; Master ; Recherche ; Paris-Saclay ; Poursuite d’études sur dossier</t>
  </si>
  <si>
    <t>Recherche ; Biologie ; Master ; Doctorat ; Double diplôme ; Ingénieur-chercheur ; Concours ENS BCPST ; Élèves fonctionnaires ; Lyon</t>
  </si>
  <si>
    <t>Recherche ; Interdisciplinarité ; Biologie ; Master ; Doctorat ; Concours ENS BCPST ; Élèves fonctionnaires ; PSL ; Paris</t>
  </si>
  <si>
    <t>Ingénierie généraliste ; Numérique ; Énergie ; Paris-Saclay ; Campus de Metz ; Concours Agro-Véto ; Groupe Centrale</t>
  </si>
  <si>
    <t>Paysage ; Paysagiste concepteur ; Projet de paysage ; Diplôme d’État de paysagiste ; Grade de master ; Apprentissage ; Admission sur titre ; Versailles ; Marseille</t>
  </si>
  <si>
    <t>Ingénierie généraliste ; Génie des procédés ; Énergie ; Matériaux ; Transitions ; Concours G2E ; Institut Mines-Télécom ; Albi</t>
  </si>
  <si>
    <t>Ingénierie généraliste ; Risques ; Environnement ; Génie civil ; Concours G2E ; Institut Mines-Télécom ; Alès</t>
  </si>
  <si>
    <t>Ingénierie généraliste ; Énergie ; Environnement ; Numérique ; Concours G2E ; Institut Mines-Télécom ; Douai ; Lille</t>
  </si>
  <si>
    <t>Bâtiment ; Écoconstruction ; Énergie ; Environnement ; Mécanique ; Stages ; Annecy ; Chambéry</t>
  </si>
  <si>
    <t>Agroalimentaire ; Matériaux ; Sciences de la Terre ; Aménagement ; Risques ; Géo-énergies ; Robotique ; Électronique et informatique ; Concours Polytech BCPST ; Paris</t>
  </si>
  <si>
    <t>Génie civil et environnement ; Constructions durables ; Géo-environnement ; Villes durables ; Travaux publics ; Énergétique ; Matériaux et mécatronique ; Génie industriel ; Cosmétique ; Pharmacie ; Agroalimentaire ; Concours Polytech BCPST</t>
  </si>
  <si>
    <t>Aménagement durable des territoires ; Génie civil ; Bâtiment ; Transports ; Énergie ; Environnement ; Concours G2E ; Élèves fonctionnaires ; Vaulx-en-Velin</t>
  </si>
  <si>
    <t>Génie urbain ; Ville ; Infrastructures ; Eau ; Génie civil ; Collectivités ; Bureaux d’études ; Concours G2E ; Paris</t>
  </si>
  <si>
    <t>Géophysique ; Sciences de la Terre ; Géotechnique ; Eau ; Environnement ; Transition énergétique ; Exploration-production ; Risques naturels ; Concours G2E ; Strasbourg</t>
  </si>
  <si>
    <t>Géologie ; Eaux et environnement ; Géologie des énergies ; Géologie numérique ; Sciences des données ; Géotechnique ; Matières premières minérales ; Stockage d’énergie ; Concours G2E ; Nancy</t>
  </si>
  <si>
    <t>Ingénierie généraliste ; Sciences fondamentales ; Biologie ; Recherche ; Concours X-BIO ; Palaiseau</t>
  </si>
  <si>
    <t>Ingénierie généraliste ; Industrie ; Double diplôme ; Ingénieur-chercheur ; Ingénieur-médecin ; Ingénieur-manager ; Architecte-ingénieur ; Concours BCPST ; Écully</t>
  </si>
  <si>
    <t>Ingénierie généraliste ; Industrie ; Maritime ; Double diplôme ; Ingénieur-architecte ; Ingénieur-pharmacien ; Apprentissage ; Concours BCPST ; Nantes</t>
  </si>
  <si>
    <t>Ingénierie généraliste ; Industrie ; Concours BCPST ; Marseille ; Groupe Centrale</t>
  </si>
  <si>
    <t>Ingénierie généraliste ; Ingénieur civil des Mines ; PSL ; Concours BCPST ; Paris</t>
  </si>
  <si>
    <t>Génie civil ; Ville ; Transports ; Environnement ; Ingénierie mathématique ; Génie industriel ; Ingénierie généraliste ; Concours BCPST ; Champs-sur-Marne</t>
  </si>
  <si>
    <t>Réseau d’écoles ; Biotechnologie ; Agroalimentaire ; Génie biologique ; Chimie ; Génie physique ; Géoressources ; Hydrogéologie ; Environnement ; Concours PC BIO ; Concours G2E</t>
  </si>
  <si>
    <t>Chimie ; Ingénierie chimique ; Concours PC BIO ; PSL ; Paris</t>
  </si>
  <si>
    <t>Chimie ; Ingénierie chimique ; Concours PC BIO ; Centrale Lille Institut ; Lille</t>
  </si>
  <si>
    <t>Chimie ; Ingénierie chimique ; Concours PC BIO ; Montpellier</t>
  </si>
  <si>
    <t>Physique ; Chimie ; Biologie ; Recherche ; Interdisciplinarité ; Concours PC BIO ; PSL ; Paris</t>
  </si>
  <si>
    <t>Génie des procédés ; Chimie ; Industries chimiques ; Concours PC BIO ; Lorraine INP ; Nancy</t>
  </si>
  <si>
    <t>Génie des procédés et bioprocédés ; Biotechnologies ; Bio-industries ; Industries chimiques ; Écotechnologies ; Environnement ; Qualité-sécurité-environnement ; Concours Polytech BCPST ; Saint-Nazaire</t>
  </si>
  <si>
    <t>Sciences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</si>
  <si>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CinqDemi</t>
  </si>
  <si>
    <t>Oui</t>
  </si>
  <si>
    <t>POLLET</t>
  </si>
  <si>
    <t>BERTHOT</t>
  </si>
  <si>
    <t>CATAZZO</t>
  </si>
  <si>
    <t>CAYAMBO</t>
  </si>
  <si>
    <t>Sidonie</t>
  </si>
  <si>
    <t>SANCHEZ ARIAS</t>
  </si>
  <si>
    <t>Ludivine</t>
  </si>
  <si>
    <t>Chercheuse</t>
  </si>
  <si>
    <t>THUILLIER</t>
  </si>
  <si>
    <t xml:space="preserve">VALLERIE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</si>
</sst>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
      <sz val="11"/>
      <color rgb="FFC9211E"/>
      <name val="Liberation Sans1"/>
    </font>
    <font>
      <sz val="11"/>
      <color rgb="FF000000"/>
      <name val="Verdana"/>
      <family val="2"/>
    </font>
    <font>
      <b/>
      <sz val="11"/>
      <color theme="1"/>
      <name val="Calibri"/>
      <scheme val="minor"/>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24" fillId="0" borderId="0"/>
    <xf numFmtId="0" fontId="28" fillId="0" borderId="0"/>
  </cellStyleXfs>
  <cellXfs count="113">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4" fillId="0" borderId="0" xfId="1" applyAlignment="1">
      <alignment horizontal="center" vertical="center" wrapText="1"/>
    </xf>
    <xf numFmtId="0" fontId="23" fillId="0" borderId="0" xfId="0" applyFont="1" applyAlignment="1">
      <alignment horizontal="center" vertical="center" wrapText="1"/>
    </xf>
    <xf numFmtId="0" fontId="23" fillId="0" borderId="0" xfId="0" applyFont="1"/>
    <xf numFmtId="0" fontId="22" fillId="0" borderId="0" xfId="0" applyFont="1" applyAlignment="1">
      <alignment horizontal="center" vertical="center" wrapText="1"/>
    </xf>
    <xf numFmtId="0" fontId="21" fillId="0" borderId="0" xfId="0" applyFont="1"/>
    <xf numFmtId="0" fontId="21" fillId="0" borderId="0" xfId="0" applyFont="1" applyAlignment="1">
      <alignment horizontal="center" vertical="center" wrapText="1"/>
    </xf>
    <xf numFmtId="0" fontId="21" fillId="0" borderId="0" xfId="0" applyFont="1" applyAlignment="1">
      <alignment horizontal="center"/>
    </xf>
    <xf numFmtId="0" fontId="21" fillId="0" borderId="0" xfId="0" applyFont="1" applyAlignment="1">
      <alignment horizontal="center" vertical="center"/>
    </xf>
    <xf numFmtId="0" fontId="24" fillId="0" borderId="0" xfId="1" applyAlignment="1">
      <alignment horizontal="center" vertical="center"/>
    </xf>
    <xf numFmtId="0" fontId="20" fillId="0" borderId="0" xfId="0" applyFont="1" applyAlignment="1">
      <alignment horizontal="center" vertical="center"/>
    </xf>
    <xf numFmtId="0" fontId="20" fillId="0" borderId="0" xfId="0" applyFont="1" applyAlignment="1">
      <alignment horizontal="center" vertical="center" wrapText="1"/>
    </xf>
    <xf numFmtId="0" fontId="19" fillId="0" borderId="0" xfId="0" applyFont="1" applyAlignment="1">
      <alignment horizontal="center" vertical="center" wrapText="1"/>
    </xf>
    <xf numFmtId="0" fontId="18" fillId="0" borderId="0" xfId="0" applyFont="1"/>
    <xf numFmtId="0" fontId="18" fillId="0" borderId="0" xfId="0" applyFont="1" applyAlignment="1">
      <alignment horizontal="center" vertical="center" wrapText="1"/>
    </xf>
    <xf numFmtId="0" fontId="0" fillId="0" borderId="1" xfId="0" applyBorder="1" applyAlignment="1">
      <alignment horizontal="center"/>
    </xf>
    <xf numFmtId="0" fontId="23" fillId="0" borderId="1" xfId="0" applyFont="1" applyBorder="1" applyAlignment="1">
      <alignment horizontal="center"/>
    </xf>
    <xf numFmtId="0" fontId="18" fillId="0" borderId="1" xfId="0" applyFont="1" applyBorder="1" applyAlignment="1">
      <alignment horizontal="center"/>
    </xf>
    <xf numFmtId="0" fontId="25" fillId="3" borderId="1" xfId="0" applyFont="1" applyFill="1" applyBorder="1" applyAlignment="1">
      <alignment horizontal="center"/>
    </xf>
    <xf numFmtId="0" fontId="17"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6" fillId="0" borderId="0" xfId="0" applyFont="1" applyAlignment="1">
      <alignment horizontal="center"/>
    </xf>
    <xf numFmtId="0" fontId="26" fillId="0" borderId="0" xfId="0" applyFont="1" applyAlignment="1">
      <alignment horizontal="center" wrapText="1"/>
    </xf>
    <xf numFmtId="0" fontId="16" fillId="0" borderId="0" xfId="0" applyFont="1" applyAlignment="1">
      <alignment horizontal="center" vertical="center" wrapText="1"/>
    </xf>
    <xf numFmtId="0" fontId="16" fillId="0" borderId="0" xfId="0" applyFont="1" applyAlignment="1">
      <alignment horizontal="center" vertical="center"/>
    </xf>
    <xf numFmtId="0" fontId="25" fillId="0" borderId="0" xfId="0" applyFont="1" applyAlignment="1">
      <alignment horizontal="center" vertical="center"/>
    </xf>
    <xf numFmtId="0" fontId="26" fillId="0" borderId="0" xfId="0" applyFont="1" applyAlignment="1">
      <alignment horizontal="center" vertical="center" wrapText="1"/>
    </xf>
    <xf numFmtId="0" fontId="27" fillId="0" borderId="0" xfId="0" applyFont="1" applyAlignment="1">
      <alignment horizontal="center" vertical="center" wrapText="1"/>
    </xf>
    <xf numFmtId="0" fontId="28" fillId="0" borderId="0" xfId="2" applyAlignment="1">
      <alignment horizontal="center"/>
    </xf>
    <xf numFmtId="0" fontId="0" fillId="3" borderId="0" xfId="0" applyFill="1" applyAlignment="1">
      <alignment horizontal="center"/>
    </xf>
    <xf numFmtId="0" fontId="15" fillId="0" borderId="0" xfId="0" applyFont="1" applyAlignment="1">
      <alignment horizontal="center"/>
    </xf>
    <xf numFmtId="0" fontId="24" fillId="0" borderId="0" xfId="1"/>
    <xf numFmtId="0" fontId="0" fillId="0" borderId="0" xfId="0" applyAlignment="1">
      <alignment horizontal="left" vertical="center" indent="1"/>
    </xf>
    <xf numFmtId="0" fontId="24" fillId="0" borderId="0" xfId="1" applyAlignment="1">
      <alignment horizontal="left" vertical="center" indent="1"/>
    </xf>
    <xf numFmtId="0" fontId="29"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30" fillId="0" borderId="0" xfId="0" applyFont="1" applyAlignment="1">
      <alignment vertical="center" wrapText="1"/>
    </xf>
    <xf numFmtId="10" fontId="30" fillId="0" borderId="0" xfId="0" applyNumberFormat="1" applyFont="1" applyAlignment="1">
      <alignment vertical="center" wrapText="1"/>
    </xf>
    <xf numFmtId="0" fontId="33" fillId="5" borderId="2" xfId="0" applyFont="1" applyFill="1" applyBorder="1" applyAlignment="1">
      <alignment horizontal="center" vertical="center" wrapText="1"/>
    </xf>
    <xf numFmtId="0" fontId="35" fillId="7" borderId="2" xfId="0" applyFont="1" applyFill="1" applyBorder="1"/>
    <xf numFmtId="0" fontId="35" fillId="7" borderId="2" xfId="0" applyFont="1" applyFill="1" applyBorder="1" applyAlignment="1">
      <alignment horizontal="center"/>
    </xf>
    <xf numFmtId="0" fontId="35" fillId="8" borderId="2" xfId="0" applyFont="1" applyFill="1" applyBorder="1"/>
    <xf numFmtId="0" fontId="35" fillId="8" borderId="2" xfId="0" applyFont="1" applyFill="1" applyBorder="1" applyAlignment="1">
      <alignment horizontal="center"/>
    </xf>
    <xf numFmtId="0" fontId="35" fillId="9" borderId="2" xfId="0" applyFont="1" applyFill="1" applyBorder="1"/>
    <xf numFmtId="0" fontId="35" fillId="9" borderId="2" xfId="0" applyFont="1" applyFill="1" applyBorder="1" applyAlignment="1">
      <alignment horizontal="center"/>
    </xf>
    <xf numFmtId="0" fontId="34" fillId="6" borderId="2" xfId="0" applyFont="1" applyFill="1" applyBorder="1" applyAlignment="1">
      <alignment horizontal="center" vertical="center" wrapText="1"/>
    </xf>
    <xf numFmtId="0" fontId="35" fillId="11" borderId="2" xfId="0" applyFont="1" applyFill="1" applyBorder="1"/>
    <xf numFmtId="0" fontId="35" fillId="11" borderId="2" xfId="0" applyFont="1" applyFill="1" applyBorder="1" applyAlignment="1">
      <alignment horizontal="center"/>
    </xf>
    <xf numFmtId="0" fontId="35" fillId="10" borderId="2" xfId="0" applyFont="1" applyFill="1" applyBorder="1"/>
    <xf numFmtId="0" fontId="35" fillId="10" borderId="2" xfId="0" applyFont="1" applyFill="1" applyBorder="1" applyAlignment="1">
      <alignment horizontal="center"/>
    </xf>
    <xf numFmtId="0" fontId="35" fillId="12" borderId="2" xfId="0" applyFont="1" applyFill="1" applyBorder="1"/>
    <xf numFmtId="0" fontId="35" fillId="12" borderId="2" xfId="0" applyFont="1" applyFill="1" applyBorder="1" applyAlignment="1">
      <alignment horizontal="center"/>
    </xf>
    <xf numFmtId="0" fontId="0" fillId="12" borderId="0" xfId="0" applyFill="1"/>
    <xf numFmtId="0" fontId="14" fillId="0" borderId="0" xfId="0" applyFont="1" applyAlignment="1">
      <alignment horizontal="center" vertical="center" wrapText="1"/>
    </xf>
    <xf numFmtId="0" fontId="0" fillId="13" borderId="3" xfId="0" applyFill="1" applyBorder="1" applyAlignment="1">
      <alignment horizontal="center"/>
    </xf>
    <xf numFmtId="0" fontId="27"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4" fillId="13" borderId="3" xfId="0" applyFont="1" applyFill="1" applyBorder="1" applyAlignment="1">
      <alignment horizontal="center"/>
    </xf>
    <xf numFmtId="0" fontId="14" fillId="0" borderId="3" xfId="0" applyFont="1" applyBorder="1" applyAlignment="1">
      <alignment horizontal="center"/>
    </xf>
    <xf numFmtId="0" fontId="16" fillId="3" borderId="0" xfId="0" applyFont="1" applyFill="1" applyAlignment="1">
      <alignment horizontal="center"/>
    </xf>
    <xf numFmtId="0" fontId="24" fillId="0" borderId="0" xfId="1" applyAlignment="1">
      <alignment horizontal="center" wrapText="1"/>
    </xf>
    <xf numFmtId="0" fontId="13"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2"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11" fillId="0" borderId="0" xfId="0" applyFont="1" applyAlignment="1">
      <alignment horizontal="center" vertical="center" wrapText="1"/>
    </xf>
    <xf numFmtId="0" fontId="0" fillId="0" borderId="0" xfId="0" applyAlignment="1">
      <alignment vertical="center"/>
    </xf>
    <xf numFmtId="0" fontId="37" fillId="0" borderId="0" xfId="0" applyFont="1" applyAlignment="1">
      <alignment vertical="center"/>
    </xf>
    <xf numFmtId="0" fontId="0" fillId="13" borderId="7" xfId="0" applyFill="1" applyBorder="1" applyAlignment="1">
      <alignment horizontal="center"/>
    </xf>
    <xf numFmtId="0" fontId="10" fillId="13" borderId="3" xfId="0" applyFont="1" applyFill="1" applyBorder="1" applyAlignment="1">
      <alignment horizontal="center"/>
    </xf>
    <xf numFmtId="0" fontId="9" fillId="13" borderId="3" xfId="0" applyFont="1" applyFill="1" applyBorder="1" applyAlignment="1">
      <alignment horizontal="center"/>
    </xf>
    <xf numFmtId="0" fontId="38" fillId="0" borderId="0" xfId="0" applyFont="1" applyAlignment="1">
      <alignment horizontal="center" vertical="center"/>
    </xf>
    <xf numFmtId="0" fontId="8" fillId="0" borderId="0" xfId="0" applyFont="1"/>
    <xf numFmtId="0" fontId="8" fillId="0" borderId="0" xfId="0" applyFont="1" applyAlignment="1">
      <alignment horizontal="center" vertical="center" wrapText="1"/>
    </xf>
    <xf numFmtId="0" fontId="7" fillId="0" borderId="0" xfId="0" applyFont="1"/>
    <xf numFmtId="0" fontId="7" fillId="0" borderId="0" xfId="0" applyFont="1" applyAlignment="1">
      <alignment horizontal="center" vertical="center" wrapText="1"/>
    </xf>
    <xf numFmtId="0" fontId="7" fillId="0" borderId="0" xfId="0" applyFont="1" applyAlignment="1">
      <alignment horizontal="left" vertical="center"/>
    </xf>
    <xf numFmtId="0" fontId="6" fillId="0" borderId="0" xfId="0" applyFont="1"/>
    <xf numFmtId="0" fontId="6" fillId="0" borderId="0" xfId="0"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wrapText="1"/>
    </xf>
    <xf numFmtId="0" fontId="6" fillId="0" borderId="0" xfId="0" applyFont="1" applyAlignment="1">
      <alignment horizontal="center"/>
    </xf>
    <xf numFmtId="0" fontId="6" fillId="13" borderId="3" xfId="0" applyFont="1" applyFill="1" applyBorder="1" applyAlignment="1">
      <alignment horizontal="center"/>
    </xf>
    <xf numFmtId="0" fontId="5" fillId="0" borderId="0" xfId="0" applyFont="1" applyAlignment="1">
      <alignment horizontal="center"/>
    </xf>
    <xf numFmtId="0" fontId="4" fillId="0" borderId="0" xfId="0" applyFont="1" applyAlignment="1">
      <alignment horizontal="center"/>
    </xf>
    <xf numFmtId="0" fontId="39" fillId="0" borderId="0" xfId="0" applyFont="1"/>
    <xf numFmtId="0" fontId="3" fillId="0" borderId="0" xfId="0" applyFont="1"/>
    <xf numFmtId="0" fontId="40" fillId="0" borderId="0" xfId="0" applyFont="1" applyAlignment="1">
      <alignment horizontal="center" vertical="center"/>
    </xf>
    <xf numFmtId="0" fontId="26" fillId="0" borderId="0" xfId="0" applyFont="1"/>
    <xf numFmtId="0" fontId="2" fillId="0" borderId="0" xfId="0" applyFont="1" applyAlignment="1">
      <alignment horizontal="center" vertical="center" wrapText="1"/>
    </xf>
    <xf numFmtId="0" fontId="2" fillId="0" borderId="0" xfId="0" applyFont="1" applyAlignment="1">
      <alignment wrapText="1"/>
    </xf>
    <xf numFmtId="0" fontId="41" fillId="0" borderId="0" xfId="0" applyFont="1" applyAlignment="1">
      <alignment vertical="center" wrapText="1"/>
    </xf>
    <xf numFmtId="0" fontId="2" fillId="0" borderId="0" xfId="0" applyFont="1" applyAlignment="1">
      <alignment vertical="center" wrapText="1"/>
    </xf>
    <xf numFmtId="0" fontId="2" fillId="0" borderId="0" xfId="0" applyFont="1"/>
    <xf numFmtId="0" fontId="30" fillId="0" borderId="0" xfId="0" applyFont="1" applyAlignment="1">
      <alignment horizontal="center" vertical="center" wrapText="1"/>
    </xf>
    <xf numFmtId="0" fontId="0" fillId="0" borderId="0" xfId="0"/>
    <xf numFmtId="0" fontId="31" fillId="0" borderId="0" xfId="0" applyFont="1" applyAlignment="1">
      <alignment horizontal="center" vertical="center" wrapText="1"/>
    </xf>
    <xf numFmtId="0" fontId="30" fillId="0" borderId="0" xfId="0" applyFont="1" applyAlignment="1">
      <alignment horizontal="center" vertical="center"/>
    </xf>
    <xf numFmtId="0" fontId="36" fillId="0" borderId="0" xfId="0" applyFont="1"/>
    <xf numFmtId="0" fontId="32" fillId="4" borderId="0" xfId="0" applyFont="1" applyFill="1" applyAlignment="1">
      <alignment horizontal="center" vertical="center"/>
    </xf>
    <xf numFmtId="16" fontId="0" fillId="0" borderId="0" xfId="0" applyNumberFormat="1" applyAlignment="1">
      <alignment horizontal="center" vertical="center"/>
    </xf>
    <xf numFmtId="0" fontId="1" fillId="0" borderId="0" xfId="0" applyFont="1"/>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96"/>
  <sheetViews>
    <sheetView workbookViewId="0">
      <selection activeCell="K1" sqref="K1"/>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 min="10" max="10" width="56" customWidth="1"/>
    <col min="11" max="11" width="14.7109375" style="4" customWidth="1"/>
  </cols>
  <sheetData>
    <row r="1" spans="1:11">
      <c r="A1" s="67" t="s">
        <v>74</v>
      </c>
      <c r="B1" s="34" t="s">
        <v>75</v>
      </c>
      <c r="C1" s="2" t="s">
        <v>76</v>
      </c>
      <c r="D1" s="2" t="s">
        <v>77</v>
      </c>
      <c r="E1" s="2" t="s">
        <v>78</v>
      </c>
      <c r="F1" s="2" t="s">
        <v>79</v>
      </c>
      <c r="G1" s="2" t="s">
        <v>80</v>
      </c>
      <c r="H1" s="2" t="s">
        <v>81</v>
      </c>
      <c r="I1" s="2" t="s">
        <v>82</v>
      </c>
      <c r="J1" s="2" t="s">
        <v>1147</v>
      </c>
      <c r="K1" s="111" t="s">
        <v>1296</v>
      </c>
    </row>
    <row r="2" spans="1:11">
      <c r="A2" s="93" t="s">
        <v>1137</v>
      </c>
      <c r="B2" s="61" t="str">
        <f t="shared" ref="B2" si="0">LEFT(A2)</f>
        <v>P</v>
      </c>
      <c r="C2" s="93" t="s">
        <v>1019</v>
      </c>
      <c r="D2" s="61">
        <v>2026</v>
      </c>
      <c r="E2" s="61" t="s">
        <v>1</v>
      </c>
      <c r="F2" s="93" t="s">
        <v>1138</v>
      </c>
      <c r="G2" s="62"/>
      <c r="H2" s="2"/>
      <c r="I2" s="2"/>
    </row>
    <row r="3" spans="1:11">
      <c r="A3" s="93" t="s">
        <v>1135</v>
      </c>
      <c r="B3" s="61" t="str">
        <f t="shared" ref="B3" si="1">LEFT(A3)</f>
        <v>O</v>
      </c>
      <c r="C3" s="93" t="s">
        <v>1136</v>
      </c>
      <c r="D3" s="61">
        <v>2026</v>
      </c>
      <c r="E3" s="61" t="s">
        <v>1</v>
      </c>
      <c r="F3" s="93" t="s">
        <v>94</v>
      </c>
      <c r="G3" s="62"/>
      <c r="H3" s="2"/>
      <c r="I3" s="2"/>
    </row>
    <row r="4" spans="1:11">
      <c r="A4" s="81" t="s">
        <v>961</v>
      </c>
      <c r="B4" s="61" t="str">
        <f t="shared" ref="B4" si="2">LEFT(A4)</f>
        <v>T</v>
      </c>
      <c r="C4" s="61" t="s">
        <v>962</v>
      </c>
      <c r="D4" s="61">
        <v>2026</v>
      </c>
      <c r="E4" s="61" t="s">
        <v>1</v>
      </c>
      <c r="F4" s="61" t="s">
        <v>104</v>
      </c>
      <c r="G4" s="62" t="s">
        <v>180</v>
      </c>
      <c r="H4" s="2"/>
      <c r="I4" s="2"/>
    </row>
    <row r="5" spans="1:11">
      <c r="A5" s="80" t="s">
        <v>958</v>
      </c>
      <c r="B5" s="61" t="str">
        <f t="shared" ref="B5" si="3">LEFT(A5)</f>
        <v>R</v>
      </c>
      <c r="C5" s="61" t="s">
        <v>217</v>
      </c>
      <c r="D5" s="61">
        <v>2026</v>
      </c>
      <c r="E5" s="61" t="s">
        <v>1</v>
      </c>
      <c r="F5" s="61" t="s">
        <v>115</v>
      </c>
      <c r="G5" s="61"/>
      <c r="H5" s="2"/>
      <c r="I5" s="2"/>
    </row>
    <row r="6" spans="1:11">
      <c r="A6" s="80" t="s">
        <v>912</v>
      </c>
      <c r="B6" s="61" t="str">
        <f t="shared" ref="B6" si="4">LEFT(A6)</f>
        <v>G</v>
      </c>
      <c r="C6" s="61" t="s">
        <v>176</v>
      </c>
      <c r="D6" s="61">
        <v>2026</v>
      </c>
      <c r="E6" s="61" t="s">
        <v>1</v>
      </c>
      <c r="F6" s="61" t="s">
        <v>425</v>
      </c>
      <c r="G6" s="61"/>
      <c r="H6" s="74"/>
      <c r="I6" s="74"/>
      <c r="K6" s="4" t="s">
        <v>1297</v>
      </c>
    </row>
    <row r="7" spans="1:11">
      <c r="A7" s="73" t="s">
        <v>907</v>
      </c>
      <c r="B7" s="61" t="str">
        <f t="shared" ref="B7" si="5">LEFT(A7)</f>
        <v>G</v>
      </c>
      <c r="C7" s="61" t="s">
        <v>908</v>
      </c>
      <c r="D7" s="61">
        <v>2026</v>
      </c>
      <c r="E7" s="61" t="s">
        <v>1</v>
      </c>
      <c r="F7" s="61" t="s">
        <v>185</v>
      </c>
      <c r="G7" s="61"/>
      <c r="H7" s="74"/>
      <c r="I7" s="74"/>
    </row>
    <row r="8" spans="1:11">
      <c r="A8" s="69" t="s">
        <v>905</v>
      </c>
      <c r="B8" s="61" t="str">
        <f t="shared" ref="B8" si="6">LEFT(A8)</f>
        <v>S</v>
      </c>
      <c r="C8" s="61" t="s">
        <v>906</v>
      </c>
      <c r="D8" s="61">
        <v>2026</v>
      </c>
      <c r="E8" s="61" t="s">
        <v>1</v>
      </c>
      <c r="F8" s="61" t="s">
        <v>104</v>
      </c>
      <c r="G8" s="62" t="s">
        <v>180</v>
      </c>
      <c r="H8" s="61"/>
      <c r="I8" s="61"/>
      <c r="K8" s="4" t="s">
        <v>1297</v>
      </c>
    </row>
    <row r="9" spans="1:11">
      <c r="A9" s="69" t="s">
        <v>344</v>
      </c>
      <c r="B9" s="61" t="str">
        <f t="shared" ref="B9" si="7">LEFT(A9)</f>
        <v>T</v>
      </c>
      <c r="C9" s="61" t="s">
        <v>904</v>
      </c>
      <c r="D9" s="61">
        <v>2026</v>
      </c>
      <c r="E9" s="61" t="s">
        <v>1</v>
      </c>
      <c r="F9" s="70" t="s">
        <v>250</v>
      </c>
      <c r="G9" s="61"/>
      <c r="H9" s="61"/>
      <c r="I9" s="61"/>
    </row>
    <row r="10" spans="1:11">
      <c r="A10" s="65" t="s">
        <v>897</v>
      </c>
      <c r="B10" s="61" t="str">
        <f t="shared" ref="B10" si="8">LEFT(A10)</f>
        <v>B</v>
      </c>
      <c r="C10" s="61" t="s">
        <v>170</v>
      </c>
      <c r="D10" s="61">
        <v>2026</v>
      </c>
      <c r="E10" s="61" t="s">
        <v>1</v>
      </c>
      <c r="F10" s="61" t="s">
        <v>112</v>
      </c>
      <c r="G10" s="71"/>
      <c r="H10" s="71"/>
      <c r="I10" s="71"/>
    </row>
    <row r="11" spans="1:11">
      <c r="A11" s="65" t="s">
        <v>895</v>
      </c>
      <c r="B11" s="61" t="str">
        <f t="shared" ref="B11" si="9">LEFT(A11)</f>
        <v>B</v>
      </c>
      <c r="C11" s="61" t="s">
        <v>896</v>
      </c>
      <c r="D11" s="61">
        <v>2026</v>
      </c>
      <c r="E11" s="61" t="s">
        <v>1</v>
      </c>
      <c r="F11" s="61" t="s">
        <v>185</v>
      </c>
      <c r="G11" s="61"/>
      <c r="H11" s="61"/>
      <c r="I11" s="61"/>
    </row>
    <row r="12" spans="1:11">
      <c r="A12" s="65" t="s">
        <v>890</v>
      </c>
      <c r="B12" s="61" t="str">
        <f t="shared" ref="B12" si="10">LEFT(A12)</f>
        <v>K</v>
      </c>
      <c r="C12" s="61" t="s">
        <v>891</v>
      </c>
      <c r="D12" s="61">
        <v>2026</v>
      </c>
      <c r="E12" s="61" t="s">
        <v>1</v>
      </c>
      <c r="F12" s="61" t="s">
        <v>892</v>
      </c>
      <c r="G12" s="61"/>
      <c r="H12" s="61"/>
      <c r="I12" s="61"/>
    </row>
    <row r="13" spans="1:11">
      <c r="A13" s="65" t="s">
        <v>888</v>
      </c>
      <c r="B13" s="61" t="str">
        <f t="shared" ref="B13" si="11">LEFT(A13)</f>
        <v>C</v>
      </c>
      <c r="C13" s="61" t="s">
        <v>889</v>
      </c>
      <c r="D13" s="61">
        <v>2026</v>
      </c>
      <c r="E13" s="61" t="s">
        <v>1</v>
      </c>
      <c r="F13" s="61" t="s">
        <v>136</v>
      </c>
      <c r="G13" s="61"/>
      <c r="H13" s="61"/>
      <c r="I13" s="61"/>
      <c r="K13" s="4" t="s">
        <v>1297</v>
      </c>
    </row>
    <row r="14" spans="1:11">
      <c r="A14" s="65" t="s">
        <v>886</v>
      </c>
      <c r="B14" s="61" t="str">
        <f t="shared" ref="B14:B76" si="12">LEFT(A14)</f>
        <v>V</v>
      </c>
      <c r="C14" s="61" t="s">
        <v>887</v>
      </c>
      <c r="D14" s="61">
        <v>2026</v>
      </c>
      <c r="E14" s="61" t="s">
        <v>1</v>
      </c>
      <c r="F14" s="61" t="s">
        <v>104</v>
      </c>
      <c r="G14" s="62" t="s">
        <v>180</v>
      </c>
      <c r="H14" s="61"/>
      <c r="I14" s="61"/>
      <c r="K14" s="4" t="s">
        <v>1297</v>
      </c>
    </row>
    <row r="15" spans="1:11">
      <c r="A15" s="66" t="s">
        <v>884</v>
      </c>
      <c r="B15" s="63" t="str">
        <f t="shared" si="12"/>
        <v>H</v>
      </c>
      <c r="C15" s="61" t="s">
        <v>885</v>
      </c>
      <c r="D15" s="61">
        <v>2026</v>
      </c>
      <c r="E15" s="61" t="s">
        <v>1</v>
      </c>
      <c r="F15" s="61" t="s">
        <v>455</v>
      </c>
      <c r="G15" s="61"/>
      <c r="H15" s="61"/>
      <c r="I15" s="61"/>
      <c r="K15" s="4" t="s">
        <v>1297</v>
      </c>
    </row>
    <row r="16" spans="1:11">
      <c r="A16" s="63" t="s">
        <v>83</v>
      </c>
      <c r="B16" s="63" t="str">
        <f t="shared" si="12"/>
        <v>A</v>
      </c>
      <c r="C16" s="63" t="s">
        <v>84</v>
      </c>
      <c r="D16" s="63">
        <v>2025</v>
      </c>
      <c r="E16" s="63" t="s">
        <v>1</v>
      </c>
      <c r="F16" s="63" t="s">
        <v>85</v>
      </c>
      <c r="G16" s="63"/>
      <c r="H16" s="64"/>
      <c r="I16" s="64"/>
    </row>
    <row r="17" spans="1:11">
      <c r="A17" s="1" t="s">
        <v>86</v>
      </c>
      <c r="B17" s="1" t="str">
        <f t="shared" si="12"/>
        <v>A</v>
      </c>
      <c r="C17" s="1" t="s">
        <v>87</v>
      </c>
      <c r="D17" s="1">
        <v>2025</v>
      </c>
      <c r="E17" s="1" t="s">
        <v>1</v>
      </c>
      <c r="F17" s="1" t="s">
        <v>88</v>
      </c>
      <c r="G17" s="1"/>
      <c r="H17" s="72"/>
    </row>
    <row r="18" spans="1:11">
      <c r="A18" s="1" t="s">
        <v>89</v>
      </c>
      <c r="B18" s="1" t="str">
        <f t="shared" si="12"/>
        <v>B</v>
      </c>
      <c r="C18" s="1" t="s">
        <v>90</v>
      </c>
      <c r="D18" s="1">
        <v>2025</v>
      </c>
      <c r="E18" s="1" t="s">
        <v>1</v>
      </c>
      <c r="F18" s="1" t="s">
        <v>91</v>
      </c>
      <c r="G18" s="1"/>
    </row>
    <row r="19" spans="1:11">
      <c r="A19" s="1" t="s">
        <v>92</v>
      </c>
      <c r="B19" s="1" t="str">
        <f t="shared" si="12"/>
        <v>C</v>
      </c>
      <c r="C19" s="1" t="s">
        <v>93</v>
      </c>
      <c r="D19" s="1">
        <v>2025</v>
      </c>
      <c r="E19" s="1" t="s">
        <v>1</v>
      </c>
      <c r="F19" s="1" t="s">
        <v>94</v>
      </c>
      <c r="G19" s="1"/>
    </row>
    <row r="20" spans="1:11">
      <c r="A20" s="1" t="s">
        <v>95</v>
      </c>
      <c r="B20" s="1" t="str">
        <f t="shared" si="12"/>
        <v>D</v>
      </c>
      <c r="C20" s="1" t="s">
        <v>96</v>
      </c>
      <c r="D20" s="1">
        <v>2025</v>
      </c>
      <c r="E20" s="1" t="s">
        <v>1</v>
      </c>
      <c r="F20" s="1" t="s">
        <v>37</v>
      </c>
      <c r="G20" s="1"/>
    </row>
    <row r="21" spans="1:11">
      <c r="A21" s="1" t="s">
        <v>97</v>
      </c>
      <c r="B21" s="1" t="str">
        <f t="shared" si="12"/>
        <v>D</v>
      </c>
      <c r="C21" s="1" t="s">
        <v>98</v>
      </c>
      <c r="D21" s="1">
        <v>2025</v>
      </c>
      <c r="E21" s="1" t="s">
        <v>1</v>
      </c>
      <c r="F21" s="1" t="s">
        <v>99</v>
      </c>
      <c r="G21" s="1"/>
    </row>
    <row r="22" spans="1:11">
      <c r="A22" s="33" t="s">
        <v>100</v>
      </c>
      <c r="B22" s="1" t="str">
        <f t="shared" si="12"/>
        <v>F</v>
      </c>
      <c r="C22" s="1" t="s">
        <v>101</v>
      </c>
      <c r="D22" s="1">
        <v>2025</v>
      </c>
      <c r="E22" s="1" t="s">
        <v>1</v>
      </c>
      <c r="F22" s="1" t="s">
        <v>85</v>
      </c>
      <c r="G22" s="1"/>
    </row>
    <row r="23" spans="1:11">
      <c r="A23" s="33" t="s">
        <v>102</v>
      </c>
      <c r="B23" s="1" t="str">
        <f t="shared" si="12"/>
        <v>F</v>
      </c>
      <c r="C23" s="1" t="s">
        <v>103</v>
      </c>
      <c r="D23" s="1">
        <v>2025</v>
      </c>
      <c r="E23" s="1" t="s">
        <v>1</v>
      </c>
      <c r="F23" s="1" t="s">
        <v>104</v>
      </c>
      <c r="G23" s="1"/>
      <c r="K23" s="4" t="s">
        <v>1297</v>
      </c>
    </row>
    <row r="24" spans="1:11">
      <c r="A24" s="33" t="s">
        <v>105</v>
      </c>
      <c r="B24" s="1" t="str">
        <f t="shared" si="12"/>
        <v>G</v>
      </c>
      <c r="C24" s="1" t="s">
        <v>106</v>
      </c>
      <c r="D24" s="1">
        <v>2025</v>
      </c>
      <c r="E24" s="1" t="s">
        <v>1</v>
      </c>
      <c r="F24" s="1" t="s">
        <v>107</v>
      </c>
      <c r="G24" s="1"/>
    </row>
    <row r="25" spans="1:11">
      <c r="A25" s="33" t="s">
        <v>108</v>
      </c>
      <c r="B25" s="1" t="str">
        <f t="shared" si="12"/>
        <v>H</v>
      </c>
      <c r="C25" s="1" t="s">
        <v>109</v>
      </c>
      <c r="D25" s="1">
        <v>2025</v>
      </c>
      <c r="E25" s="1" t="s">
        <v>1</v>
      </c>
      <c r="F25" s="1" t="s">
        <v>104</v>
      </c>
      <c r="G25" s="1"/>
    </row>
    <row r="26" spans="1:11">
      <c r="A26" s="33" t="s">
        <v>110</v>
      </c>
      <c r="B26" s="1" t="str">
        <f t="shared" si="12"/>
        <v>J</v>
      </c>
      <c r="C26" s="1" t="s">
        <v>111</v>
      </c>
      <c r="D26" s="1">
        <v>2025</v>
      </c>
      <c r="E26" s="1" t="s">
        <v>1</v>
      </c>
      <c r="F26" s="1" t="s">
        <v>112</v>
      </c>
      <c r="G26" s="1"/>
    </row>
    <row r="27" spans="1:11">
      <c r="A27" s="33" t="s">
        <v>113</v>
      </c>
      <c r="B27" s="1" t="str">
        <f t="shared" si="12"/>
        <v>L</v>
      </c>
      <c r="C27" s="1" t="s">
        <v>114</v>
      </c>
      <c r="D27" s="1">
        <v>2025</v>
      </c>
      <c r="E27" s="1" t="s">
        <v>1</v>
      </c>
      <c r="F27" s="1" t="s">
        <v>115</v>
      </c>
      <c r="G27" s="1"/>
      <c r="H27" t="s">
        <v>116</v>
      </c>
    </row>
    <row r="28" spans="1:11">
      <c r="A28" s="33" t="s">
        <v>117</v>
      </c>
      <c r="B28" s="1" t="str">
        <f t="shared" si="12"/>
        <v>L</v>
      </c>
      <c r="C28" s="1" t="s">
        <v>118</v>
      </c>
      <c r="D28" s="1">
        <v>2025</v>
      </c>
      <c r="E28" s="1" t="s">
        <v>1</v>
      </c>
      <c r="F28" s="1" t="s">
        <v>119</v>
      </c>
      <c r="G28" s="1"/>
    </row>
    <row r="29" spans="1:11">
      <c r="A29" s="33" t="s">
        <v>120</v>
      </c>
      <c r="B29" s="1" t="str">
        <f t="shared" si="12"/>
        <v>L</v>
      </c>
      <c r="C29" s="1" t="s">
        <v>121</v>
      </c>
      <c r="D29" s="1">
        <v>2025</v>
      </c>
      <c r="E29" s="1" t="s">
        <v>1</v>
      </c>
      <c r="F29" s="1" t="s">
        <v>122</v>
      </c>
      <c r="G29" s="1"/>
    </row>
    <row r="30" spans="1:11">
      <c r="A30" s="33" t="s">
        <v>123</v>
      </c>
      <c r="B30" s="1" t="str">
        <f t="shared" si="12"/>
        <v>M</v>
      </c>
      <c r="C30" s="1" t="s">
        <v>125</v>
      </c>
      <c r="D30" s="1">
        <v>2025</v>
      </c>
      <c r="E30" s="1" t="s">
        <v>1</v>
      </c>
      <c r="F30" s="1" t="s">
        <v>126</v>
      </c>
      <c r="G30" s="1"/>
    </row>
    <row r="31" spans="1:11">
      <c r="A31" s="33" t="s">
        <v>127</v>
      </c>
      <c r="B31" s="1" t="str">
        <f t="shared" si="12"/>
        <v>P</v>
      </c>
      <c r="C31" s="1" t="s">
        <v>128</v>
      </c>
      <c r="D31" s="1">
        <v>2025</v>
      </c>
      <c r="E31" s="1" t="s">
        <v>1</v>
      </c>
      <c r="F31" s="1" t="s">
        <v>129</v>
      </c>
      <c r="G31" s="1"/>
    </row>
    <row r="32" spans="1:11">
      <c r="A32" s="33" t="s">
        <v>130</v>
      </c>
      <c r="B32" s="1" t="str">
        <f t="shared" si="12"/>
        <v>S</v>
      </c>
      <c r="C32" s="1" t="s">
        <v>131</v>
      </c>
      <c r="D32" s="1">
        <v>2025</v>
      </c>
      <c r="E32" s="1" t="s">
        <v>1</v>
      </c>
      <c r="F32" s="1" t="s">
        <v>112</v>
      </c>
      <c r="G32" s="1"/>
    </row>
    <row r="33" spans="1:11">
      <c r="A33" s="33" t="s">
        <v>132</v>
      </c>
      <c r="B33" s="1" t="str">
        <f t="shared" si="12"/>
        <v>V</v>
      </c>
      <c r="C33" s="1" t="s">
        <v>133</v>
      </c>
      <c r="D33" s="1">
        <v>2025</v>
      </c>
      <c r="E33" s="1" t="s">
        <v>1</v>
      </c>
      <c r="F33" s="1" t="s">
        <v>104</v>
      </c>
      <c r="G33" s="1"/>
      <c r="K33" s="4" t="s">
        <v>1297</v>
      </c>
    </row>
    <row r="34" spans="1:11">
      <c r="A34" s="33" t="s">
        <v>134</v>
      </c>
      <c r="B34" s="1" t="str">
        <f t="shared" si="12"/>
        <v>W</v>
      </c>
      <c r="C34" s="1" t="s">
        <v>135</v>
      </c>
      <c r="D34" s="1">
        <v>2025</v>
      </c>
      <c r="E34" s="1" t="s">
        <v>1</v>
      </c>
      <c r="F34" s="1" t="s">
        <v>136</v>
      </c>
      <c r="G34" s="1"/>
    </row>
    <row r="35" spans="1:11">
      <c r="A35" s="35" t="s">
        <v>137</v>
      </c>
      <c r="B35" s="1" t="str">
        <f t="shared" si="12"/>
        <v>B</v>
      </c>
      <c r="C35" s="1" t="s">
        <v>138</v>
      </c>
      <c r="D35" s="1">
        <v>2024</v>
      </c>
      <c r="E35" s="1" t="s">
        <v>1</v>
      </c>
      <c r="F35" s="3" t="s">
        <v>280</v>
      </c>
      <c r="G35" s="1"/>
      <c r="K35" s="4" t="s">
        <v>1297</v>
      </c>
    </row>
    <row r="36" spans="1:11">
      <c r="A36" s="35" t="s">
        <v>139</v>
      </c>
      <c r="B36" s="1" t="str">
        <f t="shared" si="12"/>
        <v>B</v>
      </c>
      <c r="C36" s="1" t="s">
        <v>140</v>
      </c>
      <c r="D36" s="1">
        <v>2024</v>
      </c>
      <c r="E36" s="1" t="s">
        <v>1</v>
      </c>
      <c r="F36" s="1" t="s">
        <v>141</v>
      </c>
      <c r="G36" s="1"/>
    </row>
    <row r="37" spans="1:11">
      <c r="A37" s="35" t="s">
        <v>142</v>
      </c>
      <c r="B37" s="1" t="str">
        <f t="shared" si="12"/>
        <v>C</v>
      </c>
      <c r="C37" s="1" t="s">
        <v>143</v>
      </c>
      <c r="D37" s="1">
        <v>2024</v>
      </c>
      <c r="E37" s="1" t="s">
        <v>1</v>
      </c>
      <c r="F37" s="1" t="s">
        <v>144</v>
      </c>
      <c r="G37" s="1"/>
    </row>
    <row r="38" spans="1:11">
      <c r="A38" s="35" t="s">
        <v>145</v>
      </c>
      <c r="B38" s="1" t="str">
        <f t="shared" si="12"/>
        <v>D</v>
      </c>
      <c r="C38" s="1" t="s">
        <v>146</v>
      </c>
      <c r="D38" s="1">
        <v>2024</v>
      </c>
      <c r="E38" s="1" t="s">
        <v>1</v>
      </c>
      <c r="F38" s="1" t="s">
        <v>104</v>
      </c>
      <c r="G38" s="1"/>
      <c r="K38" s="4" t="s">
        <v>1297</v>
      </c>
    </row>
    <row r="39" spans="1:11">
      <c r="A39" s="35" t="s">
        <v>147</v>
      </c>
      <c r="B39" s="1" t="str">
        <f t="shared" si="12"/>
        <v>D</v>
      </c>
      <c r="C39" s="1" t="s">
        <v>148</v>
      </c>
      <c r="D39" s="1">
        <v>2024</v>
      </c>
      <c r="E39" s="1" t="s">
        <v>1</v>
      </c>
      <c r="F39" s="1" t="s">
        <v>91</v>
      </c>
      <c r="G39" s="1"/>
    </row>
    <row r="40" spans="1:11">
      <c r="A40" s="35" t="s">
        <v>149</v>
      </c>
      <c r="B40" s="1" t="str">
        <f t="shared" si="12"/>
        <v>F</v>
      </c>
      <c r="C40" s="1" t="s">
        <v>101</v>
      </c>
      <c r="D40" s="1">
        <v>2024</v>
      </c>
      <c r="E40" s="1" t="s">
        <v>1</v>
      </c>
      <c r="F40" s="1" t="s">
        <v>104</v>
      </c>
      <c r="G40" s="1"/>
      <c r="K40" s="4" t="s">
        <v>1297</v>
      </c>
    </row>
    <row r="41" spans="1:11">
      <c r="A41" s="35" t="s">
        <v>150</v>
      </c>
      <c r="B41" s="1" t="str">
        <f t="shared" si="12"/>
        <v>H</v>
      </c>
      <c r="C41" s="1" t="s">
        <v>151</v>
      </c>
      <c r="D41" s="1">
        <v>2024</v>
      </c>
      <c r="E41" s="1" t="s">
        <v>1</v>
      </c>
      <c r="F41" s="3" t="s">
        <v>280</v>
      </c>
      <c r="G41" s="1"/>
    </row>
    <row r="42" spans="1:11">
      <c r="A42" s="35" t="s">
        <v>152</v>
      </c>
      <c r="B42" s="1" t="str">
        <f t="shared" si="12"/>
        <v>H</v>
      </c>
      <c r="C42" s="1" t="s">
        <v>153</v>
      </c>
      <c r="D42" s="1">
        <v>2024</v>
      </c>
      <c r="E42" s="1" t="s">
        <v>1</v>
      </c>
      <c r="F42" s="1" t="s">
        <v>136</v>
      </c>
      <c r="G42" s="1"/>
    </row>
    <row r="43" spans="1:11">
      <c r="A43" s="35" t="s">
        <v>154</v>
      </c>
      <c r="B43" s="1" t="str">
        <f t="shared" si="12"/>
        <v>J</v>
      </c>
      <c r="C43" s="1" t="s">
        <v>155</v>
      </c>
      <c r="D43" s="1">
        <v>2024</v>
      </c>
      <c r="E43" s="1" t="s">
        <v>1</v>
      </c>
      <c r="F43" s="1" t="s">
        <v>94</v>
      </c>
      <c r="G43" s="1"/>
    </row>
    <row r="44" spans="1:11">
      <c r="A44" s="35" t="s">
        <v>156</v>
      </c>
      <c r="B44" s="1" t="str">
        <f t="shared" si="12"/>
        <v>L</v>
      </c>
      <c r="C44" s="1" t="s">
        <v>157</v>
      </c>
      <c r="D44" s="1">
        <v>2024</v>
      </c>
      <c r="E44" s="1" t="s">
        <v>1</v>
      </c>
      <c r="F44" s="3" t="s">
        <v>280</v>
      </c>
      <c r="G44" s="1"/>
      <c r="K44" s="4" t="s">
        <v>1297</v>
      </c>
    </row>
    <row r="45" spans="1:11">
      <c r="A45" s="35" t="s">
        <v>158</v>
      </c>
      <c r="B45" s="1" t="str">
        <f t="shared" si="12"/>
        <v>N</v>
      </c>
      <c r="C45" s="1" t="s">
        <v>159</v>
      </c>
      <c r="D45" s="1">
        <v>2024</v>
      </c>
      <c r="E45" s="1" t="s">
        <v>1</v>
      </c>
      <c r="F45" s="1" t="s">
        <v>115</v>
      </c>
      <c r="G45" s="1"/>
      <c r="H45" t="s">
        <v>160</v>
      </c>
      <c r="K45" s="4" t="s">
        <v>1297</v>
      </c>
    </row>
    <row r="46" spans="1:11">
      <c r="A46" s="35" t="s">
        <v>161</v>
      </c>
      <c r="B46" s="1" t="str">
        <f t="shared" si="12"/>
        <v>N</v>
      </c>
      <c r="C46" s="1" t="s">
        <v>162</v>
      </c>
      <c r="D46" s="1">
        <v>2024</v>
      </c>
      <c r="E46" s="1" t="s">
        <v>1</v>
      </c>
      <c r="F46" s="1" t="s">
        <v>115</v>
      </c>
      <c r="G46" s="1"/>
    </row>
    <row r="47" spans="1:11">
      <c r="A47" s="1" t="s">
        <v>1170</v>
      </c>
      <c r="B47" s="1" t="str">
        <f t="shared" si="12"/>
        <v>N</v>
      </c>
      <c r="C47" s="1" t="s">
        <v>163</v>
      </c>
      <c r="D47" s="1">
        <v>2024</v>
      </c>
      <c r="E47" s="1" t="s">
        <v>1</v>
      </c>
      <c r="F47" s="1" t="s">
        <v>85</v>
      </c>
      <c r="G47" s="1"/>
    </row>
    <row r="48" spans="1:11">
      <c r="A48" s="35" t="s">
        <v>164</v>
      </c>
      <c r="B48" s="1" t="str">
        <f t="shared" si="12"/>
        <v>P</v>
      </c>
      <c r="C48" s="1" t="s">
        <v>162</v>
      </c>
      <c r="D48" s="1">
        <v>2024</v>
      </c>
      <c r="E48" s="1" t="s">
        <v>1</v>
      </c>
      <c r="F48" s="1" t="s">
        <v>85</v>
      </c>
      <c r="G48" s="1"/>
    </row>
    <row r="49" spans="1:11">
      <c r="A49" s="35" t="s">
        <v>165</v>
      </c>
      <c r="B49" s="1" t="str">
        <f t="shared" si="12"/>
        <v>P</v>
      </c>
      <c r="C49" s="1" t="s">
        <v>166</v>
      </c>
      <c r="D49" s="1">
        <v>2024</v>
      </c>
      <c r="E49" s="1" t="s">
        <v>1</v>
      </c>
      <c r="F49" s="1" t="s">
        <v>167</v>
      </c>
      <c r="G49" s="1"/>
    </row>
    <row r="50" spans="1:11">
      <c r="A50" s="35" t="s">
        <v>168</v>
      </c>
      <c r="B50" s="1" t="str">
        <f t="shared" si="12"/>
        <v>R</v>
      </c>
      <c r="C50" s="1" t="s">
        <v>155</v>
      </c>
      <c r="D50" s="1">
        <v>2024</v>
      </c>
      <c r="E50" s="1" t="s">
        <v>1</v>
      </c>
      <c r="F50" s="1" t="s">
        <v>37</v>
      </c>
      <c r="G50" s="1"/>
      <c r="K50" s="4" t="s">
        <v>1297</v>
      </c>
    </row>
    <row r="51" spans="1:11">
      <c r="A51" s="35" t="s">
        <v>169</v>
      </c>
      <c r="B51" s="1" t="str">
        <f t="shared" si="12"/>
        <v>S</v>
      </c>
      <c r="C51" s="1" t="s">
        <v>170</v>
      </c>
      <c r="D51" s="1">
        <v>2024</v>
      </c>
      <c r="E51" s="1" t="s">
        <v>1</v>
      </c>
      <c r="F51" s="1" t="s">
        <v>115</v>
      </c>
      <c r="G51" s="1"/>
      <c r="K51" s="4" t="s">
        <v>1297</v>
      </c>
    </row>
    <row r="52" spans="1:11">
      <c r="A52" s="35" t="s">
        <v>171</v>
      </c>
      <c r="B52" s="1" t="str">
        <f t="shared" si="12"/>
        <v>S</v>
      </c>
      <c r="C52" s="1" t="s">
        <v>172</v>
      </c>
      <c r="D52" s="1">
        <v>2024</v>
      </c>
      <c r="E52" s="1" t="s">
        <v>1</v>
      </c>
      <c r="F52" s="1" t="s">
        <v>115</v>
      </c>
      <c r="G52" s="1"/>
    </row>
    <row r="53" spans="1:11">
      <c r="A53" s="35" t="s">
        <v>173</v>
      </c>
      <c r="B53" s="1" t="str">
        <f t="shared" si="12"/>
        <v>T</v>
      </c>
      <c r="C53" s="1" t="s">
        <v>174</v>
      </c>
      <c r="D53" s="1">
        <v>2024</v>
      </c>
      <c r="E53" s="1" t="s">
        <v>1</v>
      </c>
      <c r="F53" s="1" t="s">
        <v>99</v>
      </c>
      <c r="G53" s="1"/>
    </row>
    <row r="54" spans="1:11">
      <c r="A54" s="35" t="s">
        <v>175</v>
      </c>
      <c r="B54" s="1" t="str">
        <f t="shared" si="12"/>
        <v>B</v>
      </c>
      <c r="C54" s="31" t="s">
        <v>176</v>
      </c>
      <c r="D54" s="26">
        <v>2023</v>
      </c>
      <c r="E54" s="26" t="s">
        <v>1</v>
      </c>
      <c r="F54" s="3" t="s">
        <v>280</v>
      </c>
      <c r="G54" s="32"/>
    </row>
    <row r="55" spans="1:11">
      <c r="A55" s="35" t="s">
        <v>177</v>
      </c>
      <c r="B55" s="1" t="str">
        <f t="shared" si="12"/>
        <v>B</v>
      </c>
      <c r="C55" s="31" t="s">
        <v>128</v>
      </c>
      <c r="D55" s="26">
        <v>2023</v>
      </c>
      <c r="E55" s="26" t="s">
        <v>1</v>
      </c>
      <c r="F55" s="32" t="s">
        <v>112</v>
      </c>
      <c r="G55" s="32"/>
    </row>
    <row r="56" spans="1:11">
      <c r="A56" s="35" t="s">
        <v>178</v>
      </c>
      <c r="B56" s="1" t="str">
        <f t="shared" si="12"/>
        <v>C</v>
      </c>
      <c r="C56" s="31" t="s">
        <v>179</v>
      </c>
      <c r="D56" s="26">
        <v>2024</v>
      </c>
      <c r="E56" s="26" t="s">
        <v>1</v>
      </c>
      <c r="F56" s="27" t="s">
        <v>104</v>
      </c>
      <c r="G56" s="32" t="s">
        <v>180</v>
      </c>
      <c r="K56" s="4" t="s">
        <v>1297</v>
      </c>
    </row>
    <row r="57" spans="1:11">
      <c r="A57" s="94" t="s">
        <v>1145</v>
      </c>
      <c r="B57" s="1" t="str">
        <f t="shared" si="12"/>
        <v>D</v>
      </c>
      <c r="C57" s="31" t="s">
        <v>181</v>
      </c>
      <c r="D57" s="26">
        <v>2023</v>
      </c>
      <c r="E57" s="26" t="s">
        <v>1</v>
      </c>
      <c r="F57" s="27" t="s">
        <v>104</v>
      </c>
      <c r="G57" s="32" t="s">
        <v>180</v>
      </c>
      <c r="J57" s="98" t="s">
        <v>1171</v>
      </c>
    </row>
    <row r="58" spans="1:11">
      <c r="A58" s="95" t="s">
        <v>1146</v>
      </c>
      <c r="B58" s="1" t="str">
        <f t="shared" si="12"/>
        <v>G</v>
      </c>
      <c r="C58" s="31" t="s">
        <v>182</v>
      </c>
      <c r="D58" s="26">
        <v>2023</v>
      </c>
      <c r="E58" s="26" t="s">
        <v>1</v>
      </c>
      <c r="F58" s="3" t="s">
        <v>280</v>
      </c>
      <c r="G58" s="32"/>
      <c r="K58" s="4" t="s">
        <v>1297</v>
      </c>
    </row>
    <row r="59" spans="1:11">
      <c r="A59" s="35" t="s">
        <v>183</v>
      </c>
      <c r="B59" s="1" t="str">
        <f t="shared" si="12"/>
        <v>H</v>
      </c>
      <c r="C59" s="31" t="s">
        <v>184</v>
      </c>
      <c r="D59" s="26">
        <v>2023</v>
      </c>
      <c r="E59" s="26" t="s">
        <v>1</v>
      </c>
      <c r="F59" s="32" t="s">
        <v>185</v>
      </c>
      <c r="G59" s="32"/>
    </row>
    <row r="60" spans="1:11">
      <c r="A60" s="35" t="s">
        <v>186</v>
      </c>
      <c r="B60" s="1" t="str">
        <f t="shared" si="12"/>
        <v>J</v>
      </c>
      <c r="C60" s="31" t="s">
        <v>84</v>
      </c>
      <c r="D60" s="26">
        <v>2023</v>
      </c>
      <c r="E60" s="26" t="s">
        <v>1</v>
      </c>
      <c r="F60" s="32" t="s">
        <v>112</v>
      </c>
      <c r="G60" s="32"/>
    </row>
    <row r="61" spans="1:11">
      <c r="A61" s="35" t="s">
        <v>187</v>
      </c>
      <c r="B61" s="1" t="str">
        <f t="shared" si="12"/>
        <v>K</v>
      </c>
      <c r="C61" s="31" t="s">
        <v>188</v>
      </c>
      <c r="D61" s="26">
        <v>2023</v>
      </c>
      <c r="E61" s="26" t="s">
        <v>1</v>
      </c>
      <c r="F61" s="32" t="s">
        <v>112</v>
      </c>
      <c r="G61" s="32"/>
    </row>
    <row r="62" spans="1:11">
      <c r="A62" s="35" t="s">
        <v>189</v>
      </c>
      <c r="B62" s="1" t="str">
        <f t="shared" si="12"/>
        <v>L</v>
      </c>
      <c r="C62" s="31" t="s">
        <v>190</v>
      </c>
      <c r="D62" s="26">
        <v>2023</v>
      </c>
      <c r="E62" s="26" t="s">
        <v>1</v>
      </c>
      <c r="F62" s="32" t="s">
        <v>191</v>
      </c>
      <c r="G62" s="32"/>
      <c r="K62" s="4" t="s">
        <v>1297</v>
      </c>
    </row>
    <row r="63" spans="1:11">
      <c r="A63" s="35" t="s">
        <v>192</v>
      </c>
      <c r="B63" s="1" t="str">
        <f t="shared" si="12"/>
        <v>M</v>
      </c>
      <c r="C63" s="31" t="s">
        <v>193</v>
      </c>
      <c r="D63" s="26">
        <v>2023</v>
      </c>
      <c r="E63" s="26" t="s">
        <v>1</v>
      </c>
      <c r="F63" s="32" t="s">
        <v>194</v>
      </c>
      <c r="G63" s="32"/>
      <c r="K63" s="4" t="s">
        <v>1297</v>
      </c>
    </row>
    <row r="64" spans="1:11">
      <c r="A64" s="35" t="s">
        <v>195</v>
      </c>
      <c r="B64" s="1" t="str">
        <f t="shared" si="12"/>
        <v>M</v>
      </c>
      <c r="C64" s="31" t="s">
        <v>196</v>
      </c>
      <c r="D64" s="26">
        <v>2023</v>
      </c>
      <c r="E64" s="26" t="s">
        <v>1</v>
      </c>
      <c r="F64" s="27" t="s">
        <v>104</v>
      </c>
      <c r="G64" s="32"/>
    </row>
    <row r="65" spans="1:11">
      <c r="A65" s="35" t="s">
        <v>197</v>
      </c>
      <c r="B65" s="1" t="str">
        <f t="shared" si="12"/>
        <v>M</v>
      </c>
      <c r="C65" s="31" t="s">
        <v>198</v>
      </c>
      <c r="D65" s="26">
        <v>2023</v>
      </c>
      <c r="E65" s="26" t="s">
        <v>1</v>
      </c>
      <c r="F65" s="32" t="s">
        <v>112</v>
      </c>
      <c r="G65" s="32"/>
    </row>
    <row r="66" spans="1:11">
      <c r="A66" s="35" t="s">
        <v>199</v>
      </c>
      <c r="B66" s="1" t="str">
        <f t="shared" si="12"/>
        <v>P</v>
      </c>
      <c r="C66" s="31" t="s">
        <v>200</v>
      </c>
      <c r="D66" s="26">
        <v>2023</v>
      </c>
      <c r="E66" s="26" t="s">
        <v>1</v>
      </c>
      <c r="F66" s="27" t="s">
        <v>104</v>
      </c>
      <c r="G66" s="32"/>
    </row>
    <row r="67" spans="1:11">
      <c r="A67" s="35" t="s">
        <v>201</v>
      </c>
      <c r="B67" s="1" t="str">
        <f t="shared" si="12"/>
        <v>T</v>
      </c>
      <c r="C67" s="31" t="s">
        <v>202</v>
      </c>
      <c r="D67" s="26">
        <v>2023</v>
      </c>
      <c r="E67" s="26" t="s">
        <v>1</v>
      </c>
      <c r="F67" s="32" t="s">
        <v>167</v>
      </c>
      <c r="G67" s="32"/>
    </row>
    <row r="68" spans="1:11">
      <c r="A68" s="35" t="s">
        <v>203</v>
      </c>
      <c r="B68" s="1" t="str">
        <f t="shared" si="12"/>
        <v>T</v>
      </c>
      <c r="C68" s="31" t="s">
        <v>204</v>
      </c>
      <c r="D68" s="26">
        <v>2023</v>
      </c>
      <c r="E68" s="26" t="s">
        <v>1</v>
      </c>
      <c r="F68" s="32" t="s">
        <v>85</v>
      </c>
      <c r="G68" s="32"/>
    </row>
    <row r="69" spans="1:11">
      <c r="A69" s="35" t="s">
        <v>205</v>
      </c>
      <c r="B69" s="1" t="str">
        <f t="shared" si="12"/>
        <v>V</v>
      </c>
      <c r="C69" s="31" t="s">
        <v>206</v>
      </c>
      <c r="D69" s="26">
        <v>2023</v>
      </c>
      <c r="E69" s="26" t="s">
        <v>1</v>
      </c>
      <c r="F69" s="27" t="s">
        <v>104</v>
      </c>
      <c r="G69" s="32"/>
    </row>
    <row r="70" spans="1:11">
      <c r="A70" s="35" t="s">
        <v>207</v>
      </c>
      <c r="B70" s="1" t="str">
        <f t="shared" si="12"/>
        <v>A</v>
      </c>
      <c r="C70" s="32" t="s">
        <v>208</v>
      </c>
      <c r="D70" s="26">
        <v>2022</v>
      </c>
      <c r="E70" s="26" t="s">
        <v>1</v>
      </c>
      <c r="F70" s="32" t="s">
        <v>209</v>
      </c>
      <c r="G70" s="32"/>
      <c r="K70" s="4" t="s">
        <v>1297</v>
      </c>
    </row>
    <row r="71" spans="1:11">
      <c r="A71" s="35" t="s">
        <v>210</v>
      </c>
      <c r="B71" s="1" t="str">
        <f t="shared" si="12"/>
        <v>A</v>
      </c>
      <c r="C71" s="32" t="s">
        <v>211</v>
      </c>
      <c r="D71" s="26">
        <v>2022</v>
      </c>
      <c r="E71" s="26" t="s">
        <v>1</v>
      </c>
      <c r="F71" s="32" t="s">
        <v>185</v>
      </c>
      <c r="G71" s="32"/>
      <c r="K71" s="4" t="s">
        <v>1297</v>
      </c>
    </row>
    <row r="72" spans="1:11">
      <c r="A72" s="35" t="s">
        <v>212</v>
      </c>
      <c r="B72" s="1" t="str">
        <f t="shared" si="12"/>
        <v>B</v>
      </c>
      <c r="C72" s="32" t="s">
        <v>213</v>
      </c>
      <c r="D72" s="26">
        <v>2022</v>
      </c>
      <c r="E72" s="26" t="s">
        <v>1</v>
      </c>
      <c r="F72" s="32" t="s">
        <v>37</v>
      </c>
      <c r="G72" s="32"/>
      <c r="K72" s="4" t="s">
        <v>1297</v>
      </c>
    </row>
    <row r="73" spans="1:11">
      <c r="A73" s="35" t="s">
        <v>214</v>
      </c>
      <c r="B73" s="1" t="str">
        <f t="shared" si="12"/>
        <v>C</v>
      </c>
      <c r="C73" s="32" t="s">
        <v>215</v>
      </c>
      <c r="D73" s="26">
        <v>2022</v>
      </c>
      <c r="E73" s="26" t="s">
        <v>1</v>
      </c>
      <c r="F73" s="32" t="s">
        <v>112</v>
      </c>
      <c r="G73" s="32"/>
    </row>
    <row r="74" spans="1:11">
      <c r="A74" s="35" t="s">
        <v>216</v>
      </c>
      <c r="B74" s="1" t="str">
        <f t="shared" si="12"/>
        <v>D</v>
      </c>
      <c r="C74" s="32" t="s">
        <v>217</v>
      </c>
      <c r="D74" s="26">
        <v>2022</v>
      </c>
      <c r="E74" s="26" t="s">
        <v>1</v>
      </c>
      <c r="F74" s="32" t="s">
        <v>122</v>
      </c>
      <c r="G74" s="32"/>
    </row>
    <row r="75" spans="1:11">
      <c r="A75" s="35" t="s">
        <v>218</v>
      </c>
      <c r="B75" s="1" t="str">
        <f t="shared" si="12"/>
        <v>D</v>
      </c>
      <c r="C75" s="32" t="s">
        <v>219</v>
      </c>
      <c r="D75" s="26">
        <v>2022</v>
      </c>
      <c r="E75" s="26" t="s">
        <v>1</v>
      </c>
      <c r="F75" s="32" t="s">
        <v>122</v>
      </c>
      <c r="G75" s="32"/>
    </row>
    <row r="76" spans="1:11">
      <c r="A76" s="35" t="s">
        <v>220</v>
      </c>
      <c r="B76" s="1" t="str">
        <f t="shared" si="12"/>
        <v>G</v>
      </c>
      <c r="C76" s="32" t="s">
        <v>221</v>
      </c>
      <c r="D76" s="26">
        <v>2022</v>
      </c>
      <c r="E76" s="26" t="s">
        <v>1</v>
      </c>
      <c r="F76" s="32" t="s">
        <v>104</v>
      </c>
      <c r="G76" s="32" t="s">
        <v>180</v>
      </c>
    </row>
    <row r="77" spans="1:11">
      <c r="A77" s="35" t="s">
        <v>222</v>
      </c>
      <c r="B77" s="1" t="str">
        <f t="shared" ref="B77:B95" si="13">LEFT(A77)</f>
        <v>G</v>
      </c>
      <c r="C77" s="32" t="s">
        <v>128</v>
      </c>
      <c r="D77" s="26">
        <v>2022</v>
      </c>
      <c r="E77" s="26" t="s">
        <v>1</v>
      </c>
      <c r="F77" s="32" t="s">
        <v>37</v>
      </c>
      <c r="G77" s="26"/>
    </row>
    <row r="78" spans="1:11">
      <c r="A78" s="35" t="s">
        <v>223</v>
      </c>
      <c r="B78" s="1" t="str">
        <f t="shared" si="13"/>
        <v>M</v>
      </c>
      <c r="C78" s="32" t="s">
        <v>224</v>
      </c>
      <c r="D78" s="26">
        <v>2022</v>
      </c>
      <c r="E78" s="26" t="s">
        <v>1</v>
      </c>
      <c r="F78" s="32" t="s">
        <v>104</v>
      </c>
      <c r="G78" s="32" t="s">
        <v>180</v>
      </c>
      <c r="K78" s="4" t="s">
        <v>1297</v>
      </c>
    </row>
    <row r="79" spans="1:11">
      <c r="A79" s="35" t="s">
        <v>225</v>
      </c>
      <c r="B79" s="1" t="str">
        <f t="shared" si="13"/>
        <v>R</v>
      </c>
      <c r="C79" s="32" t="s">
        <v>226</v>
      </c>
      <c r="D79" s="26">
        <v>2022</v>
      </c>
      <c r="E79" s="26" t="s">
        <v>1</v>
      </c>
      <c r="F79" s="32" t="s">
        <v>122</v>
      </c>
      <c r="G79" s="32"/>
    </row>
    <row r="80" spans="1:11">
      <c r="A80" s="35" t="s">
        <v>227</v>
      </c>
      <c r="B80" s="1" t="str">
        <f t="shared" si="13"/>
        <v>R</v>
      </c>
      <c r="C80" s="32" t="s">
        <v>228</v>
      </c>
      <c r="D80" s="26">
        <v>2022</v>
      </c>
      <c r="E80" s="26" t="s">
        <v>1</v>
      </c>
      <c r="F80" s="32" t="s">
        <v>229</v>
      </c>
      <c r="G80" s="32"/>
      <c r="K80" s="4" t="s">
        <v>1297</v>
      </c>
    </row>
    <row r="81" spans="1:11">
      <c r="A81" s="35" t="s">
        <v>230</v>
      </c>
      <c r="B81" s="1" t="str">
        <f t="shared" si="13"/>
        <v>V</v>
      </c>
      <c r="C81" s="32" t="s">
        <v>231</v>
      </c>
      <c r="D81" s="26">
        <v>2022</v>
      </c>
      <c r="E81" s="26" t="s">
        <v>1</v>
      </c>
      <c r="F81" s="3" t="s">
        <v>280</v>
      </c>
      <c r="G81" s="32"/>
    </row>
    <row r="82" spans="1:11">
      <c r="A82" s="32" t="s">
        <v>232</v>
      </c>
      <c r="B82" s="1" t="str">
        <f t="shared" si="13"/>
        <v>A</v>
      </c>
      <c r="C82" s="32" t="s">
        <v>233</v>
      </c>
      <c r="D82" s="26">
        <v>2021</v>
      </c>
      <c r="E82" s="26" t="s">
        <v>1</v>
      </c>
      <c r="F82" s="32" t="s">
        <v>126</v>
      </c>
      <c r="G82" s="1"/>
      <c r="K82" s="4" t="s">
        <v>1297</v>
      </c>
    </row>
    <row r="83" spans="1:11">
      <c r="A83" s="32" t="s">
        <v>234</v>
      </c>
      <c r="B83" s="1" t="str">
        <f t="shared" si="13"/>
        <v>B</v>
      </c>
      <c r="C83" s="32" t="s">
        <v>235</v>
      </c>
      <c r="D83" s="26">
        <v>2021</v>
      </c>
      <c r="E83" s="26" t="s">
        <v>1</v>
      </c>
      <c r="F83" s="32" t="s">
        <v>185</v>
      </c>
      <c r="G83" s="1"/>
      <c r="J83" s="96" t="s">
        <v>1148</v>
      </c>
    </row>
    <row r="84" spans="1:11">
      <c r="A84" s="32" t="s">
        <v>236</v>
      </c>
      <c r="B84" s="1" t="str">
        <f t="shared" si="13"/>
        <v>B</v>
      </c>
      <c r="C84" s="32" t="s">
        <v>237</v>
      </c>
      <c r="D84" s="26">
        <v>2021</v>
      </c>
      <c r="E84" s="26" t="s">
        <v>1</v>
      </c>
      <c r="F84" s="32" t="s">
        <v>238</v>
      </c>
      <c r="G84" s="1"/>
      <c r="K84" s="4" t="s">
        <v>1297</v>
      </c>
    </row>
    <row r="85" spans="1:11">
      <c r="A85" s="32" t="s">
        <v>239</v>
      </c>
      <c r="B85" s="1" t="str">
        <f t="shared" si="13"/>
        <v>C</v>
      </c>
      <c r="C85" s="32" t="s">
        <v>240</v>
      </c>
      <c r="D85" s="26">
        <v>2021</v>
      </c>
      <c r="E85" s="26" t="s">
        <v>1</v>
      </c>
      <c r="F85" s="32" t="s">
        <v>122</v>
      </c>
      <c r="G85" s="1"/>
      <c r="K85" s="4" t="s">
        <v>1297</v>
      </c>
    </row>
    <row r="86" spans="1:11">
      <c r="A86" s="32" t="s">
        <v>241</v>
      </c>
      <c r="B86" s="1" t="str">
        <f t="shared" si="13"/>
        <v>C</v>
      </c>
      <c r="C86" s="32" t="s">
        <v>231</v>
      </c>
      <c r="D86" s="26">
        <v>2021</v>
      </c>
      <c r="E86" s="26" t="s">
        <v>1</v>
      </c>
      <c r="F86" s="3" t="s">
        <v>280</v>
      </c>
      <c r="G86" s="1"/>
      <c r="K86" s="4" t="s">
        <v>1297</v>
      </c>
    </row>
    <row r="87" spans="1:11">
      <c r="A87" s="32" t="s">
        <v>242</v>
      </c>
      <c r="B87" s="1" t="str">
        <f t="shared" si="13"/>
        <v>C</v>
      </c>
      <c r="C87" s="32" t="s">
        <v>243</v>
      </c>
      <c r="D87" s="26">
        <v>2021</v>
      </c>
      <c r="E87" s="26" t="s">
        <v>1</v>
      </c>
      <c r="F87" s="32" t="s">
        <v>122</v>
      </c>
      <c r="G87" s="1"/>
      <c r="J87" s="96" t="s">
        <v>1149</v>
      </c>
      <c r="K87" s="4" t="s">
        <v>1297</v>
      </c>
    </row>
    <row r="88" spans="1:11">
      <c r="A88" s="32" t="s">
        <v>244</v>
      </c>
      <c r="B88" s="1" t="str">
        <f t="shared" si="13"/>
        <v>C</v>
      </c>
      <c r="C88" s="32" t="s">
        <v>245</v>
      </c>
      <c r="D88" s="26">
        <v>2021</v>
      </c>
      <c r="E88" s="26" t="s">
        <v>1</v>
      </c>
      <c r="F88" s="3" t="s">
        <v>280</v>
      </c>
      <c r="G88" s="1"/>
      <c r="K88" s="4" t="s">
        <v>1297</v>
      </c>
    </row>
    <row r="89" spans="1:11">
      <c r="A89" s="32" t="s">
        <v>246</v>
      </c>
      <c r="B89" s="1" t="str">
        <f t="shared" si="13"/>
        <v>E</v>
      </c>
      <c r="C89" s="32" t="s">
        <v>247</v>
      </c>
      <c r="D89" s="26">
        <v>2021</v>
      </c>
      <c r="E89" s="26" t="s">
        <v>1</v>
      </c>
      <c r="F89" s="32" t="s">
        <v>37</v>
      </c>
      <c r="G89" s="1"/>
      <c r="K89" s="4" t="s">
        <v>1297</v>
      </c>
    </row>
    <row r="90" spans="1:11">
      <c r="A90" s="32" t="s">
        <v>248</v>
      </c>
      <c r="B90" s="1" t="str">
        <f t="shared" si="13"/>
        <v>G</v>
      </c>
      <c r="C90" s="32" t="s">
        <v>249</v>
      </c>
      <c r="D90" s="26">
        <v>2021</v>
      </c>
      <c r="E90" s="26" t="s">
        <v>1</v>
      </c>
      <c r="F90" s="32" t="s">
        <v>250</v>
      </c>
      <c r="G90" s="1"/>
    </row>
    <row r="91" spans="1:11">
      <c r="A91" s="32" t="s">
        <v>251</v>
      </c>
      <c r="B91" s="1" t="str">
        <f t="shared" si="13"/>
        <v>J</v>
      </c>
      <c r="C91" s="32" t="s">
        <v>252</v>
      </c>
      <c r="D91" s="26">
        <v>2021</v>
      </c>
      <c r="E91" s="26" t="s">
        <v>1</v>
      </c>
      <c r="F91" s="32" t="s">
        <v>104</v>
      </c>
      <c r="G91" s="1"/>
      <c r="J91" s="96" t="s">
        <v>1150</v>
      </c>
    </row>
    <row r="92" spans="1:11">
      <c r="A92" s="32" t="s">
        <v>253</v>
      </c>
      <c r="B92" s="1" t="str">
        <f t="shared" si="13"/>
        <v>L</v>
      </c>
      <c r="C92" s="32" t="s">
        <v>254</v>
      </c>
      <c r="D92" s="26">
        <v>2021</v>
      </c>
      <c r="E92" s="26" t="s">
        <v>1</v>
      </c>
      <c r="F92" s="32" t="s">
        <v>255</v>
      </c>
      <c r="G92" s="1"/>
      <c r="K92" s="4" t="s">
        <v>1297</v>
      </c>
    </row>
    <row r="93" spans="1:11">
      <c r="A93" s="32" t="s">
        <v>256</v>
      </c>
      <c r="B93" s="1" t="str">
        <f t="shared" si="13"/>
        <v>M</v>
      </c>
      <c r="C93" s="32" t="s">
        <v>257</v>
      </c>
      <c r="D93" s="26">
        <v>2021</v>
      </c>
      <c r="E93" s="26" t="s">
        <v>1</v>
      </c>
      <c r="F93" s="32" t="s">
        <v>112</v>
      </c>
      <c r="G93" s="1"/>
      <c r="J93" s="96" t="s">
        <v>1151</v>
      </c>
    </row>
    <row r="94" spans="1:11">
      <c r="A94" s="32" t="s">
        <v>258</v>
      </c>
      <c r="B94" s="1" t="str">
        <f t="shared" si="13"/>
        <v>M</v>
      </c>
      <c r="C94" s="32" t="s">
        <v>259</v>
      </c>
      <c r="D94" s="26">
        <v>2021</v>
      </c>
      <c r="E94" s="26" t="s">
        <v>1</v>
      </c>
      <c r="F94" s="26" t="s">
        <v>126</v>
      </c>
      <c r="G94" s="1"/>
      <c r="K94" s="4" t="s">
        <v>1297</v>
      </c>
    </row>
    <row r="95" spans="1:11">
      <c r="A95" s="32" t="s">
        <v>260</v>
      </c>
      <c r="B95" s="1" t="str">
        <f t="shared" si="13"/>
        <v>N</v>
      </c>
      <c r="C95" s="32" t="s">
        <v>261</v>
      </c>
      <c r="D95" s="26">
        <v>2021</v>
      </c>
      <c r="E95" s="26" t="s">
        <v>1</v>
      </c>
      <c r="F95" s="32" t="s">
        <v>122</v>
      </c>
      <c r="G95" s="1"/>
    </row>
    <row r="96" spans="1:11">
      <c r="A96" s="32" t="s">
        <v>262</v>
      </c>
      <c r="B96" s="1" t="str">
        <f t="shared" ref="B96:B196" si="14">LEFT(A96)</f>
        <v>P</v>
      </c>
      <c r="C96" s="32" t="s">
        <v>263</v>
      </c>
      <c r="D96" s="26">
        <v>2021</v>
      </c>
      <c r="E96" s="26" t="s">
        <v>1</v>
      </c>
      <c r="F96" s="32" t="s">
        <v>264</v>
      </c>
      <c r="G96" s="1"/>
      <c r="K96" s="4" t="s">
        <v>1297</v>
      </c>
    </row>
    <row r="97" spans="1:11">
      <c r="A97" s="32" t="s">
        <v>265</v>
      </c>
      <c r="B97" s="1" t="str">
        <f t="shared" si="14"/>
        <v>R</v>
      </c>
      <c r="C97" s="32" t="s">
        <v>266</v>
      </c>
      <c r="D97" s="26">
        <v>2021</v>
      </c>
      <c r="E97" s="26" t="s">
        <v>1</v>
      </c>
      <c r="F97" s="32" t="s">
        <v>209</v>
      </c>
      <c r="G97" s="1"/>
    </row>
    <row r="98" spans="1:11">
      <c r="A98" s="32" t="s">
        <v>267</v>
      </c>
      <c r="B98" s="1" t="str">
        <f t="shared" si="14"/>
        <v>R</v>
      </c>
      <c r="C98" s="32" t="s">
        <v>233</v>
      </c>
      <c r="D98" s="26">
        <v>2021</v>
      </c>
      <c r="E98" s="26" t="s">
        <v>1</v>
      </c>
      <c r="F98" s="32" t="s">
        <v>122</v>
      </c>
      <c r="G98" s="1"/>
    </row>
    <row r="99" spans="1:11">
      <c r="A99" s="32" t="s">
        <v>268</v>
      </c>
      <c r="B99" s="1" t="str">
        <f t="shared" si="14"/>
        <v>B</v>
      </c>
      <c r="C99" s="32" t="s">
        <v>269</v>
      </c>
      <c r="D99" s="26">
        <v>2020</v>
      </c>
      <c r="E99" s="26" t="s">
        <v>1</v>
      </c>
      <c r="F99" t="s">
        <v>185</v>
      </c>
      <c r="J99" s="96" t="s">
        <v>1152</v>
      </c>
      <c r="K99" s="4" t="s">
        <v>1297</v>
      </c>
    </row>
    <row r="100" spans="1:11">
      <c r="A100" s="32" t="s">
        <v>270</v>
      </c>
      <c r="B100" s="1" t="str">
        <f t="shared" si="14"/>
        <v>A</v>
      </c>
      <c r="C100" s="32" t="s">
        <v>271</v>
      </c>
      <c r="D100" s="26">
        <v>2020</v>
      </c>
      <c r="E100" s="26" t="s">
        <v>1</v>
      </c>
      <c r="F100" t="s">
        <v>37</v>
      </c>
      <c r="K100" s="4" t="s">
        <v>1297</v>
      </c>
    </row>
    <row r="101" spans="1:11">
      <c r="A101" s="32" t="s">
        <v>959</v>
      </c>
      <c r="B101" s="1" t="str">
        <f t="shared" si="14"/>
        <v>V</v>
      </c>
      <c r="C101" s="32" t="s">
        <v>960</v>
      </c>
      <c r="D101" s="26">
        <v>2018</v>
      </c>
      <c r="E101" s="26" t="s">
        <v>1</v>
      </c>
      <c r="F101" s="32" t="s">
        <v>112</v>
      </c>
      <c r="J101" s="97" t="s">
        <v>1163</v>
      </c>
    </row>
    <row r="102" spans="1:11">
      <c r="A102" s="32" t="s">
        <v>963</v>
      </c>
      <c r="B102" s="1" t="str">
        <f t="shared" si="14"/>
        <v>B</v>
      </c>
      <c r="C102" s="32" t="s">
        <v>341</v>
      </c>
      <c r="D102" s="26">
        <v>2020</v>
      </c>
      <c r="E102" s="26" t="s">
        <v>1</v>
      </c>
      <c r="F102" s="32" t="s">
        <v>126</v>
      </c>
      <c r="K102" s="4" t="s">
        <v>1297</v>
      </c>
    </row>
    <row r="103" spans="1:11">
      <c r="A103" s="32" t="s">
        <v>964</v>
      </c>
      <c r="B103" s="1" t="str">
        <f t="shared" si="14"/>
        <v>B</v>
      </c>
      <c r="C103" s="32" t="s">
        <v>196</v>
      </c>
      <c r="D103" s="26">
        <v>2020</v>
      </c>
      <c r="E103" s="26" t="s">
        <v>1</v>
      </c>
      <c r="F103" t="s">
        <v>94</v>
      </c>
    </row>
    <row r="104" spans="1:11">
      <c r="A104" s="32" t="s">
        <v>965</v>
      </c>
      <c r="B104" s="1" t="str">
        <f t="shared" si="14"/>
        <v>G</v>
      </c>
      <c r="C104" s="32" t="s">
        <v>966</v>
      </c>
      <c r="D104" s="26">
        <v>2020</v>
      </c>
      <c r="E104" s="26" t="s">
        <v>1</v>
      </c>
      <c r="F104" t="s">
        <v>37</v>
      </c>
      <c r="J104" s="97" t="s">
        <v>1153</v>
      </c>
      <c r="K104" s="4" t="s">
        <v>1297</v>
      </c>
    </row>
    <row r="105" spans="1:11">
      <c r="A105" s="32" t="s">
        <v>967</v>
      </c>
      <c r="B105" s="1" t="str">
        <f t="shared" si="14"/>
        <v>G</v>
      </c>
      <c r="C105" s="32" t="s">
        <v>459</v>
      </c>
      <c r="D105" s="26">
        <v>2020</v>
      </c>
      <c r="E105" s="26" t="s">
        <v>1</v>
      </c>
      <c r="F105" t="s">
        <v>91</v>
      </c>
      <c r="K105" s="4" t="s">
        <v>1297</v>
      </c>
    </row>
    <row r="106" spans="1:11">
      <c r="A106" s="32" t="s">
        <v>968</v>
      </c>
      <c r="B106" s="1" t="str">
        <f t="shared" si="14"/>
        <v>H</v>
      </c>
      <c r="C106" s="32" t="s">
        <v>969</v>
      </c>
      <c r="D106" s="26">
        <v>2020</v>
      </c>
      <c r="E106" s="26" t="s">
        <v>1</v>
      </c>
      <c r="F106" t="s">
        <v>970</v>
      </c>
    </row>
    <row r="107" spans="1:11">
      <c r="A107" s="32" t="s">
        <v>976</v>
      </c>
      <c r="B107" s="1" t="str">
        <f t="shared" si="14"/>
        <v>I</v>
      </c>
      <c r="C107" s="32" t="s">
        <v>977</v>
      </c>
      <c r="D107" s="26">
        <v>2020</v>
      </c>
      <c r="E107" s="26" t="s">
        <v>1</v>
      </c>
      <c r="F107" s="83" t="s">
        <v>94</v>
      </c>
    </row>
    <row r="108" spans="1:11">
      <c r="A108" s="32" t="s">
        <v>978</v>
      </c>
      <c r="B108" s="1" t="str">
        <f t="shared" si="14"/>
        <v>L</v>
      </c>
      <c r="C108" s="32" t="s">
        <v>979</v>
      </c>
      <c r="D108" s="26">
        <v>2020</v>
      </c>
      <c r="E108" s="26" t="s">
        <v>1</v>
      </c>
      <c r="F108" s="85" t="s">
        <v>980</v>
      </c>
    </row>
    <row r="109" spans="1:11">
      <c r="A109" s="32" t="s">
        <v>985</v>
      </c>
      <c r="B109" s="1" t="str">
        <f t="shared" si="14"/>
        <v>L</v>
      </c>
      <c r="C109" s="32" t="s">
        <v>188</v>
      </c>
      <c r="D109" s="26">
        <v>2020</v>
      </c>
      <c r="E109" s="26" t="s">
        <v>1</v>
      </c>
      <c r="F109" t="s">
        <v>986</v>
      </c>
    </row>
    <row r="110" spans="1:11">
      <c r="A110" s="32" t="s">
        <v>991</v>
      </c>
      <c r="B110" s="1" t="str">
        <f t="shared" si="14"/>
        <v>L</v>
      </c>
      <c r="C110" s="32" t="s">
        <v>376</v>
      </c>
      <c r="D110" s="26">
        <v>2020</v>
      </c>
      <c r="E110" s="26" t="s">
        <v>1</v>
      </c>
      <c r="F110" s="27" t="s">
        <v>104</v>
      </c>
      <c r="J110" s="97" t="s">
        <v>1154</v>
      </c>
      <c r="K110" s="4" t="s">
        <v>1297</v>
      </c>
    </row>
    <row r="111" spans="1:11">
      <c r="A111" s="32" t="s">
        <v>992</v>
      </c>
      <c r="B111" s="1" t="str">
        <f t="shared" si="14"/>
        <v>M</v>
      </c>
      <c r="C111" s="32" t="s">
        <v>208</v>
      </c>
      <c r="D111" s="26">
        <v>2020</v>
      </c>
      <c r="E111" s="26" t="s">
        <v>1</v>
      </c>
      <c r="F111" s="88" t="s">
        <v>403</v>
      </c>
      <c r="J111" s="96" t="s">
        <v>1155</v>
      </c>
    </row>
    <row r="112" spans="1:11">
      <c r="A112" s="32" t="s">
        <v>993</v>
      </c>
      <c r="B112" s="1" t="str">
        <f t="shared" si="14"/>
        <v>M</v>
      </c>
      <c r="C112" s="32" t="s">
        <v>261</v>
      </c>
      <c r="D112" s="26">
        <v>2020</v>
      </c>
      <c r="E112" s="26" t="s">
        <v>1</v>
      </c>
      <c r="F112" t="s">
        <v>255</v>
      </c>
      <c r="K112" s="4" t="s">
        <v>1297</v>
      </c>
    </row>
    <row r="113" spans="1:11">
      <c r="A113" s="32" t="s">
        <v>994</v>
      </c>
      <c r="B113" s="1" t="str">
        <f t="shared" si="14"/>
        <v>N</v>
      </c>
      <c r="C113" s="32" t="s">
        <v>376</v>
      </c>
      <c r="D113" s="26">
        <v>2020</v>
      </c>
      <c r="E113" s="26" t="s">
        <v>1</v>
      </c>
      <c r="F113" s="32" t="s">
        <v>112</v>
      </c>
      <c r="K113" s="4" t="s">
        <v>1297</v>
      </c>
    </row>
    <row r="114" spans="1:11">
      <c r="A114" s="32" t="s">
        <v>995</v>
      </c>
      <c r="B114" s="1" t="str">
        <f t="shared" si="14"/>
        <v>P</v>
      </c>
      <c r="C114" s="32" t="s">
        <v>996</v>
      </c>
      <c r="D114" s="26">
        <v>2020</v>
      </c>
      <c r="E114" s="26" t="s">
        <v>1</v>
      </c>
      <c r="F114" s="12" t="s">
        <v>682</v>
      </c>
      <c r="J114" s="96" t="s">
        <v>1156</v>
      </c>
    </row>
    <row r="115" spans="1:11">
      <c r="A115" s="32" t="s">
        <v>997</v>
      </c>
      <c r="B115" s="1" t="str">
        <f t="shared" si="14"/>
        <v>R</v>
      </c>
      <c r="C115" s="32" t="s">
        <v>998</v>
      </c>
      <c r="D115" s="26">
        <v>2020</v>
      </c>
      <c r="E115" s="26" t="s">
        <v>1</v>
      </c>
      <c r="F115" s="32" t="s">
        <v>112</v>
      </c>
      <c r="J115" s="97" t="s">
        <v>1157</v>
      </c>
      <c r="K115" s="4" t="s">
        <v>1297</v>
      </c>
    </row>
    <row r="116" spans="1:11">
      <c r="A116" s="32" t="s">
        <v>999</v>
      </c>
      <c r="B116" s="1" t="str">
        <f t="shared" si="14"/>
        <v>R</v>
      </c>
      <c r="C116" s="32" t="s">
        <v>906</v>
      </c>
      <c r="D116" s="26">
        <v>2020</v>
      </c>
      <c r="E116" s="26" t="s">
        <v>1</v>
      </c>
      <c r="F116" t="s">
        <v>1001</v>
      </c>
      <c r="K116" s="4" t="s">
        <v>1297</v>
      </c>
    </row>
    <row r="117" spans="1:11">
      <c r="A117" s="32" t="s">
        <v>1008</v>
      </c>
      <c r="B117" s="1" t="str">
        <f t="shared" si="14"/>
        <v>T</v>
      </c>
      <c r="C117" s="32" t="s">
        <v>427</v>
      </c>
      <c r="D117" s="26">
        <v>2020</v>
      </c>
      <c r="E117" s="26" t="s">
        <v>1</v>
      </c>
      <c r="F117" t="s">
        <v>1009</v>
      </c>
    </row>
    <row r="118" spans="1:11">
      <c r="A118" s="32" t="s">
        <v>1016</v>
      </c>
      <c r="B118" s="1" t="str">
        <f t="shared" si="14"/>
        <v>A</v>
      </c>
      <c r="C118" s="32" t="s">
        <v>1017</v>
      </c>
      <c r="D118" s="26">
        <v>2019</v>
      </c>
      <c r="E118" s="26" t="s">
        <v>1</v>
      </c>
      <c r="F118" t="s">
        <v>970</v>
      </c>
    </row>
    <row r="119" spans="1:11">
      <c r="A119" s="32" t="s">
        <v>1018</v>
      </c>
      <c r="B119" s="1" t="str">
        <f t="shared" si="14"/>
        <v>B</v>
      </c>
      <c r="C119" s="32" t="s">
        <v>1019</v>
      </c>
      <c r="D119" s="26">
        <v>2019</v>
      </c>
      <c r="E119" s="26" t="s">
        <v>1</v>
      </c>
      <c r="F119" s="88" t="s">
        <v>126</v>
      </c>
      <c r="K119" s="4" t="s">
        <v>1297</v>
      </c>
    </row>
    <row r="120" spans="1:11">
      <c r="A120" s="32" t="s">
        <v>1020</v>
      </c>
      <c r="B120" s="1" t="str">
        <f t="shared" si="14"/>
        <v>B</v>
      </c>
      <c r="C120" s="32" t="s">
        <v>140</v>
      </c>
      <c r="D120" s="26">
        <v>2019</v>
      </c>
      <c r="E120" s="26" t="s">
        <v>1</v>
      </c>
      <c r="F120" s="88" t="s">
        <v>37</v>
      </c>
      <c r="K120" s="4" t="s">
        <v>1297</v>
      </c>
    </row>
    <row r="121" spans="1:11">
      <c r="A121" s="32" t="s">
        <v>1021</v>
      </c>
      <c r="B121" s="1" t="str">
        <f t="shared" si="14"/>
        <v>B</v>
      </c>
      <c r="C121" s="32" t="s">
        <v>1022</v>
      </c>
      <c r="D121" s="26">
        <v>2019</v>
      </c>
      <c r="E121" s="26" t="s">
        <v>1</v>
      </c>
      <c r="F121" s="88" t="s">
        <v>695</v>
      </c>
      <c r="K121" s="4" t="s">
        <v>1297</v>
      </c>
    </row>
    <row r="122" spans="1:11">
      <c r="A122" s="32" t="s">
        <v>1023</v>
      </c>
      <c r="B122" s="1" t="str">
        <f t="shared" si="14"/>
        <v>C</v>
      </c>
      <c r="C122" s="32" t="s">
        <v>1024</v>
      </c>
      <c r="D122" s="26">
        <v>2019</v>
      </c>
      <c r="E122" s="26" t="s">
        <v>1</v>
      </c>
      <c r="F122" s="27" t="s">
        <v>104</v>
      </c>
      <c r="G122" s="88" t="s">
        <v>80</v>
      </c>
      <c r="K122" s="4" t="s">
        <v>1297</v>
      </c>
    </row>
    <row r="123" spans="1:11">
      <c r="A123" s="32" t="s">
        <v>1025</v>
      </c>
      <c r="B123" s="1" t="str">
        <f t="shared" si="14"/>
        <v>C</v>
      </c>
      <c r="C123" s="32" t="s">
        <v>188</v>
      </c>
      <c r="D123" s="26">
        <v>2019</v>
      </c>
      <c r="E123" s="26" t="s">
        <v>1</v>
      </c>
      <c r="F123" s="88" t="s">
        <v>37</v>
      </c>
      <c r="K123" s="4" t="s">
        <v>1297</v>
      </c>
    </row>
    <row r="124" spans="1:11">
      <c r="A124" s="32" t="s">
        <v>1026</v>
      </c>
      <c r="B124" s="1" t="str">
        <f t="shared" si="14"/>
        <v>D</v>
      </c>
      <c r="C124" s="32" t="s">
        <v>1027</v>
      </c>
      <c r="D124" s="26">
        <v>2019</v>
      </c>
      <c r="E124" s="26" t="s">
        <v>1</v>
      </c>
      <c r="F124" s="88" t="s">
        <v>107</v>
      </c>
    </row>
    <row r="125" spans="1:11">
      <c r="A125" s="32" t="s">
        <v>1028</v>
      </c>
      <c r="B125" s="1" t="str">
        <f t="shared" si="14"/>
        <v>D</v>
      </c>
      <c r="C125" s="32" t="s">
        <v>1029</v>
      </c>
      <c r="D125" s="26">
        <v>2019</v>
      </c>
      <c r="E125" s="26" t="s">
        <v>1</v>
      </c>
      <c r="F125" s="88" t="s">
        <v>37</v>
      </c>
    </row>
    <row r="126" spans="1:11">
      <c r="A126" s="32" t="s">
        <v>1030</v>
      </c>
      <c r="B126" s="1" t="str">
        <f t="shared" si="14"/>
        <v>M</v>
      </c>
      <c r="C126" s="32" t="s">
        <v>376</v>
      </c>
      <c r="D126" s="26">
        <v>2019</v>
      </c>
      <c r="E126" s="26" t="s">
        <v>1</v>
      </c>
      <c r="F126" s="88" t="s">
        <v>104</v>
      </c>
      <c r="K126" s="4" t="s">
        <v>1297</v>
      </c>
    </row>
    <row r="127" spans="1:11">
      <c r="A127" s="32" t="s">
        <v>1031</v>
      </c>
      <c r="B127" s="1" t="str">
        <f t="shared" si="14"/>
        <v>N</v>
      </c>
      <c r="C127" s="32" t="s">
        <v>908</v>
      </c>
      <c r="D127" s="26">
        <v>2019</v>
      </c>
      <c r="E127" s="26" t="s">
        <v>1</v>
      </c>
      <c r="F127" s="88" t="s">
        <v>455</v>
      </c>
    </row>
    <row r="128" spans="1:11">
      <c r="A128" s="32" t="s">
        <v>1032</v>
      </c>
      <c r="B128" s="1" t="str">
        <f t="shared" si="14"/>
        <v>P</v>
      </c>
      <c r="C128" s="32" t="s">
        <v>231</v>
      </c>
      <c r="D128" s="26">
        <v>2019</v>
      </c>
      <c r="E128" s="26" t="s">
        <v>1</v>
      </c>
      <c r="F128" s="32" t="s">
        <v>112</v>
      </c>
    </row>
    <row r="129" spans="1:11">
      <c r="A129" s="32" t="s">
        <v>1033</v>
      </c>
      <c r="B129" s="1" t="str">
        <f t="shared" si="14"/>
        <v>S</v>
      </c>
      <c r="C129" s="32" t="s">
        <v>96</v>
      </c>
      <c r="D129" s="26">
        <v>2019</v>
      </c>
      <c r="E129" s="26" t="s">
        <v>1</v>
      </c>
      <c r="F129" s="88" t="s">
        <v>144</v>
      </c>
    </row>
    <row r="130" spans="1:11">
      <c r="A130" s="32" t="s">
        <v>1034</v>
      </c>
      <c r="B130" s="1" t="str">
        <f t="shared" si="14"/>
        <v>S</v>
      </c>
      <c r="C130" s="32" t="s">
        <v>1035</v>
      </c>
      <c r="D130" s="26">
        <v>2019</v>
      </c>
      <c r="E130" s="26" t="s">
        <v>1</v>
      </c>
      <c r="F130" s="88" t="s">
        <v>695</v>
      </c>
      <c r="K130" s="4" t="s">
        <v>1297</v>
      </c>
    </row>
    <row r="131" spans="1:11">
      <c r="A131" s="32" t="s">
        <v>1036</v>
      </c>
      <c r="B131" s="1" t="str">
        <f t="shared" si="14"/>
        <v>S</v>
      </c>
      <c r="C131" s="32" t="s">
        <v>435</v>
      </c>
      <c r="D131" s="26">
        <v>2019</v>
      </c>
      <c r="E131" s="26" t="s">
        <v>1</v>
      </c>
      <c r="F131" s="88" t="s">
        <v>695</v>
      </c>
      <c r="J131" s="97" t="s">
        <v>1158</v>
      </c>
      <c r="K131" s="4" t="s">
        <v>1297</v>
      </c>
    </row>
    <row r="132" spans="1:11">
      <c r="A132" s="32" t="s">
        <v>1037</v>
      </c>
      <c r="B132" s="1" t="str">
        <f t="shared" si="14"/>
        <v>B</v>
      </c>
      <c r="C132" s="32" t="s">
        <v>128</v>
      </c>
      <c r="D132" s="26">
        <v>2018</v>
      </c>
      <c r="E132" s="26" t="s">
        <v>1</v>
      </c>
      <c r="F132" s="88" t="s">
        <v>104</v>
      </c>
      <c r="G132" s="88" t="s">
        <v>180</v>
      </c>
      <c r="J132" s="97" t="s">
        <v>1159</v>
      </c>
      <c r="K132" s="4" t="s">
        <v>1297</v>
      </c>
    </row>
    <row r="133" spans="1:11">
      <c r="A133" s="32" t="s">
        <v>1038</v>
      </c>
      <c r="B133" s="1" t="str">
        <f t="shared" si="14"/>
        <v>C</v>
      </c>
      <c r="C133" s="32" t="s">
        <v>1039</v>
      </c>
      <c r="D133" s="26">
        <v>2018</v>
      </c>
      <c r="E133" s="26" t="s">
        <v>1</v>
      </c>
      <c r="F133" s="88" t="s">
        <v>37</v>
      </c>
      <c r="K133" s="4" t="s">
        <v>1297</v>
      </c>
    </row>
    <row r="134" spans="1:11">
      <c r="A134" s="32" t="s">
        <v>1040</v>
      </c>
      <c r="B134" s="1" t="str">
        <f t="shared" si="14"/>
        <v>C</v>
      </c>
      <c r="C134" s="32" t="s">
        <v>128</v>
      </c>
      <c r="D134" s="26">
        <v>2018</v>
      </c>
      <c r="E134" s="26" t="s">
        <v>1</v>
      </c>
      <c r="F134" s="88" t="s">
        <v>91</v>
      </c>
      <c r="J134" s="97" t="s">
        <v>1160</v>
      </c>
    </row>
    <row r="135" spans="1:11">
      <c r="A135" s="32" t="s">
        <v>1041</v>
      </c>
      <c r="B135" s="1" t="str">
        <f t="shared" si="14"/>
        <v>C</v>
      </c>
      <c r="C135" s="32" t="s">
        <v>266</v>
      </c>
      <c r="D135" s="26">
        <v>2018</v>
      </c>
      <c r="E135" s="26" t="s">
        <v>1</v>
      </c>
      <c r="F135" s="88" t="s">
        <v>229</v>
      </c>
      <c r="J135" s="97" t="s">
        <v>1161</v>
      </c>
      <c r="K135" s="4" t="s">
        <v>1297</v>
      </c>
    </row>
    <row r="136" spans="1:11">
      <c r="A136" s="32" t="s">
        <v>1042</v>
      </c>
      <c r="B136" s="1" t="str">
        <f t="shared" si="14"/>
        <v>D</v>
      </c>
      <c r="C136" s="32" t="s">
        <v>1043</v>
      </c>
      <c r="D136" s="26">
        <v>2018</v>
      </c>
      <c r="E136" s="26" t="s">
        <v>1</v>
      </c>
      <c r="F136" s="88" t="s">
        <v>970</v>
      </c>
    </row>
    <row r="137" spans="1:11">
      <c r="A137" s="32" t="s">
        <v>1044</v>
      </c>
      <c r="B137" s="1" t="str">
        <f t="shared" si="14"/>
        <v>D</v>
      </c>
      <c r="C137" s="32" t="s">
        <v>231</v>
      </c>
      <c r="D137" s="26">
        <v>2018</v>
      </c>
      <c r="E137" s="26" t="s">
        <v>1</v>
      </c>
      <c r="F137" s="3" t="s">
        <v>280</v>
      </c>
    </row>
    <row r="138" spans="1:11">
      <c r="A138" s="32" t="s">
        <v>1045</v>
      </c>
      <c r="B138" s="1" t="str">
        <f t="shared" si="14"/>
        <v>F</v>
      </c>
      <c r="C138" s="32" t="s">
        <v>176</v>
      </c>
      <c r="D138" s="26">
        <v>2018</v>
      </c>
      <c r="E138" s="26" t="s">
        <v>1</v>
      </c>
      <c r="F138" s="88" t="s">
        <v>229</v>
      </c>
      <c r="K138" s="4" t="s">
        <v>1297</v>
      </c>
    </row>
    <row r="139" spans="1:11">
      <c r="A139" s="32" t="s">
        <v>1046</v>
      </c>
      <c r="B139" s="1" t="str">
        <f t="shared" si="14"/>
        <v>H</v>
      </c>
      <c r="C139" s="32" t="s">
        <v>1039</v>
      </c>
      <c r="D139" s="26">
        <v>2018</v>
      </c>
      <c r="E139" s="26" t="s">
        <v>1</v>
      </c>
      <c r="F139" s="88" t="s">
        <v>126</v>
      </c>
      <c r="K139" s="4" t="s">
        <v>1297</v>
      </c>
    </row>
    <row r="140" spans="1:11">
      <c r="A140" s="32" t="s">
        <v>1047</v>
      </c>
      <c r="B140" s="1" t="str">
        <f t="shared" si="14"/>
        <v>J</v>
      </c>
      <c r="C140" s="32" t="s">
        <v>1048</v>
      </c>
      <c r="D140" s="26">
        <v>2018</v>
      </c>
      <c r="E140" s="26" t="s">
        <v>1</v>
      </c>
      <c r="F140" s="88" t="s">
        <v>104</v>
      </c>
      <c r="K140" s="4" t="s">
        <v>1297</v>
      </c>
    </row>
    <row r="141" spans="1:11">
      <c r="A141" s="32" t="s">
        <v>1049</v>
      </c>
      <c r="B141" s="1" t="str">
        <f t="shared" si="14"/>
        <v>J</v>
      </c>
      <c r="C141" s="32" t="s">
        <v>466</v>
      </c>
      <c r="D141" s="26">
        <v>2018</v>
      </c>
      <c r="E141" s="26" t="s">
        <v>1</v>
      </c>
      <c r="F141" s="88" t="s">
        <v>209</v>
      </c>
      <c r="K141" s="4" t="s">
        <v>1297</v>
      </c>
    </row>
    <row r="142" spans="1:11">
      <c r="A142" s="32" t="s">
        <v>1050</v>
      </c>
      <c r="B142" s="1" t="str">
        <f t="shared" si="14"/>
        <v>L</v>
      </c>
      <c r="C142" s="32" t="s">
        <v>1051</v>
      </c>
      <c r="D142" s="26">
        <v>2018</v>
      </c>
      <c r="E142" s="26" t="s">
        <v>1</v>
      </c>
      <c r="F142" s="88" t="s">
        <v>1052</v>
      </c>
      <c r="K142" s="4" t="s">
        <v>1297</v>
      </c>
    </row>
    <row r="143" spans="1:11">
      <c r="A143" s="32" t="s">
        <v>1058</v>
      </c>
      <c r="B143" s="1" t="str">
        <f t="shared" si="14"/>
        <v>M</v>
      </c>
      <c r="C143" s="32" t="s">
        <v>307</v>
      </c>
      <c r="D143" s="26">
        <v>2018</v>
      </c>
      <c r="E143" s="26" t="s">
        <v>1</v>
      </c>
      <c r="F143" s="88" t="s">
        <v>126</v>
      </c>
      <c r="K143" s="4" t="s">
        <v>1297</v>
      </c>
    </row>
    <row r="144" spans="1:11">
      <c r="A144" s="32" t="s">
        <v>1059</v>
      </c>
      <c r="B144" s="1" t="str">
        <f t="shared" si="14"/>
        <v>P</v>
      </c>
      <c r="C144" s="32" t="s">
        <v>266</v>
      </c>
      <c r="D144" s="26">
        <v>2018</v>
      </c>
      <c r="E144" s="26" t="s">
        <v>1</v>
      </c>
      <c r="F144" s="88" t="s">
        <v>126</v>
      </c>
    </row>
    <row r="145" spans="1:11">
      <c r="A145" s="32" t="s">
        <v>1060</v>
      </c>
      <c r="B145" s="1" t="str">
        <f t="shared" si="14"/>
        <v>P</v>
      </c>
      <c r="C145" s="32" t="s">
        <v>327</v>
      </c>
      <c r="D145" s="26">
        <v>2018</v>
      </c>
      <c r="E145" s="26" t="s">
        <v>1</v>
      </c>
      <c r="F145" s="88" t="s">
        <v>104</v>
      </c>
      <c r="J145" s="97" t="s">
        <v>1162</v>
      </c>
      <c r="K145" s="4" t="s">
        <v>1297</v>
      </c>
    </row>
    <row r="146" spans="1:11">
      <c r="A146" s="32" t="s">
        <v>1298</v>
      </c>
      <c r="B146" s="1" t="str">
        <f t="shared" ref="B146" si="15">LEFT(A146)</f>
        <v>P</v>
      </c>
      <c r="C146" s="32" t="s">
        <v>196</v>
      </c>
      <c r="D146" s="26">
        <v>2018</v>
      </c>
      <c r="E146" s="26" t="s">
        <v>1</v>
      </c>
      <c r="F146" s="88" t="s">
        <v>280</v>
      </c>
      <c r="J146" s="97"/>
      <c r="K146" s="4" t="s">
        <v>1297</v>
      </c>
    </row>
    <row r="147" spans="1:11">
      <c r="A147" s="32" t="s">
        <v>1034</v>
      </c>
      <c r="B147" s="1" t="str">
        <f t="shared" si="14"/>
        <v>S</v>
      </c>
      <c r="C147" s="32" t="s">
        <v>1035</v>
      </c>
      <c r="D147" s="26">
        <v>2018</v>
      </c>
      <c r="E147" s="26" t="s">
        <v>1</v>
      </c>
      <c r="F147" s="88" t="s">
        <v>104</v>
      </c>
    </row>
    <row r="148" spans="1:11">
      <c r="A148" s="32" t="s">
        <v>1061</v>
      </c>
      <c r="B148" s="1" t="str">
        <f t="shared" si="14"/>
        <v>A</v>
      </c>
      <c r="C148" s="32" t="s">
        <v>162</v>
      </c>
      <c r="D148" s="26">
        <v>2017</v>
      </c>
      <c r="E148" s="26" t="s">
        <v>1</v>
      </c>
      <c r="F148" s="32" t="s">
        <v>112</v>
      </c>
    </row>
    <row r="149" spans="1:11">
      <c r="A149" s="32" t="s">
        <v>1062</v>
      </c>
      <c r="B149" s="1" t="str">
        <f t="shared" si="14"/>
        <v>B</v>
      </c>
      <c r="C149" s="32" t="s">
        <v>1063</v>
      </c>
      <c r="D149" s="26">
        <v>2017</v>
      </c>
      <c r="E149" s="26" t="s">
        <v>1</v>
      </c>
      <c r="F149" s="88" t="s">
        <v>104</v>
      </c>
      <c r="G149" s="88" t="s">
        <v>180</v>
      </c>
    </row>
    <row r="150" spans="1:11">
      <c r="A150" s="32" t="s">
        <v>1064</v>
      </c>
      <c r="B150" s="1" t="str">
        <f t="shared" si="14"/>
        <v>C</v>
      </c>
      <c r="C150" s="92" t="s">
        <v>295</v>
      </c>
      <c r="D150" s="26">
        <v>2017</v>
      </c>
      <c r="E150" s="26" t="s">
        <v>1</v>
      </c>
      <c r="F150" s="88" t="s">
        <v>104</v>
      </c>
    </row>
    <row r="151" spans="1:11">
      <c r="A151" s="32" t="s">
        <v>1065</v>
      </c>
      <c r="B151" s="1" t="str">
        <f t="shared" si="14"/>
        <v>D</v>
      </c>
      <c r="C151" s="32" t="s">
        <v>1066</v>
      </c>
      <c r="D151" s="26">
        <v>2017</v>
      </c>
      <c r="E151" s="26" t="s">
        <v>1</v>
      </c>
      <c r="F151" s="32" t="s">
        <v>112</v>
      </c>
    </row>
    <row r="152" spans="1:11">
      <c r="A152" s="32" t="s">
        <v>1067</v>
      </c>
      <c r="B152" s="1" t="str">
        <f t="shared" si="14"/>
        <v>D</v>
      </c>
      <c r="C152" s="32" t="s">
        <v>1068</v>
      </c>
      <c r="D152" s="26">
        <v>2017</v>
      </c>
      <c r="E152" s="26" t="s">
        <v>1</v>
      </c>
      <c r="F152" s="88" t="s">
        <v>209</v>
      </c>
    </row>
    <row r="153" spans="1:11">
      <c r="A153" s="32" t="s">
        <v>1028</v>
      </c>
      <c r="B153" s="1" t="str">
        <f t="shared" si="14"/>
        <v>D</v>
      </c>
      <c r="C153" s="32" t="s">
        <v>1069</v>
      </c>
      <c r="D153" s="26">
        <v>2017</v>
      </c>
      <c r="E153" s="26" t="s">
        <v>1</v>
      </c>
      <c r="F153" s="88" t="s">
        <v>37</v>
      </c>
    </row>
    <row r="154" spans="1:11">
      <c r="A154" s="32" t="s">
        <v>1070</v>
      </c>
      <c r="B154" s="1" t="str">
        <f t="shared" si="14"/>
        <v>F</v>
      </c>
      <c r="C154" s="32" t="s">
        <v>206</v>
      </c>
      <c r="D154" s="26">
        <v>2017</v>
      </c>
      <c r="E154" s="26" t="s">
        <v>1</v>
      </c>
      <c r="F154" s="32" t="s">
        <v>112</v>
      </c>
    </row>
    <row r="155" spans="1:11">
      <c r="A155" s="32" t="s">
        <v>1071</v>
      </c>
      <c r="B155" s="1" t="str">
        <f t="shared" si="14"/>
        <v>F</v>
      </c>
      <c r="C155" s="32" t="s">
        <v>159</v>
      </c>
      <c r="D155" s="26">
        <v>2017</v>
      </c>
      <c r="E155" s="26" t="s">
        <v>1</v>
      </c>
      <c r="F155" s="88" t="s">
        <v>85</v>
      </c>
      <c r="J155" s="97" t="s">
        <v>1164</v>
      </c>
    </row>
    <row r="156" spans="1:11">
      <c r="A156" s="32" t="s">
        <v>1072</v>
      </c>
      <c r="B156" s="1" t="str">
        <f t="shared" si="14"/>
        <v>G</v>
      </c>
      <c r="C156" s="32" t="s">
        <v>1073</v>
      </c>
      <c r="D156" s="26">
        <v>2017</v>
      </c>
      <c r="E156" s="26" t="s">
        <v>1</v>
      </c>
      <c r="F156" s="88" t="s">
        <v>122</v>
      </c>
      <c r="K156" s="4" t="s">
        <v>1297</v>
      </c>
    </row>
    <row r="157" spans="1:11">
      <c r="A157" s="32" t="s">
        <v>1074</v>
      </c>
      <c r="B157" s="1" t="str">
        <f t="shared" si="14"/>
        <v>J</v>
      </c>
      <c r="C157" s="32" t="s">
        <v>1075</v>
      </c>
      <c r="D157" s="26">
        <v>2017</v>
      </c>
      <c r="E157" s="26" t="s">
        <v>1</v>
      </c>
      <c r="F157" s="88" t="s">
        <v>1001</v>
      </c>
    </row>
    <row r="158" spans="1:11">
      <c r="A158" s="32" t="s">
        <v>1076</v>
      </c>
      <c r="B158" s="1" t="str">
        <f t="shared" si="14"/>
        <v>L</v>
      </c>
      <c r="C158" s="32" t="s">
        <v>190</v>
      </c>
      <c r="D158" s="26">
        <v>2017</v>
      </c>
      <c r="E158" s="26" t="s">
        <v>1</v>
      </c>
      <c r="F158" s="88" t="s">
        <v>250</v>
      </c>
      <c r="K158" s="4" t="s">
        <v>1297</v>
      </c>
    </row>
    <row r="159" spans="1:11">
      <c r="A159" s="32" t="s">
        <v>1077</v>
      </c>
      <c r="B159" s="1" t="str">
        <f t="shared" si="14"/>
        <v>M</v>
      </c>
      <c r="C159" s="32" t="s">
        <v>1078</v>
      </c>
      <c r="D159" s="26">
        <v>2017</v>
      </c>
      <c r="E159" s="26" t="s">
        <v>1</v>
      </c>
      <c r="F159" s="88" t="s">
        <v>900</v>
      </c>
    </row>
    <row r="160" spans="1:11">
      <c r="A160" s="32" t="s">
        <v>1079</v>
      </c>
      <c r="B160" s="1" t="str">
        <f t="shared" si="14"/>
        <v>M</v>
      </c>
      <c r="C160" s="32" t="s">
        <v>415</v>
      </c>
      <c r="D160" s="26">
        <v>2017</v>
      </c>
      <c r="E160" s="26" t="s">
        <v>1</v>
      </c>
      <c r="F160" s="88" t="s">
        <v>1080</v>
      </c>
    </row>
    <row r="161" spans="1:11">
      <c r="A161" s="32" t="s">
        <v>1086</v>
      </c>
      <c r="B161" s="1" t="str">
        <f t="shared" si="14"/>
        <v>M</v>
      </c>
      <c r="C161" s="32" t="s">
        <v>1087</v>
      </c>
      <c r="D161" s="26">
        <v>2017</v>
      </c>
      <c r="E161" s="26" t="s">
        <v>1</v>
      </c>
      <c r="F161" s="88" t="s">
        <v>522</v>
      </c>
    </row>
    <row r="162" spans="1:11">
      <c r="A162" s="32" t="s">
        <v>1088</v>
      </c>
      <c r="B162" s="1" t="str">
        <f t="shared" si="14"/>
        <v>M</v>
      </c>
      <c r="C162" s="32" t="s">
        <v>383</v>
      </c>
      <c r="D162" s="26">
        <v>2017</v>
      </c>
      <c r="E162" s="26" t="s">
        <v>1</v>
      </c>
      <c r="F162" s="88" t="s">
        <v>104</v>
      </c>
    </row>
    <row r="163" spans="1:11">
      <c r="A163" s="32" t="s">
        <v>1089</v>
      </c>
      <c r="B163" s="1" t="str">
        <f t="shared" si="14"/>
        <v>P</v>
      </c>
      <c r="C163" s="32" t="s">
        <v>1090</v>
      </c>
      <c r="D163" s="26">
        <v>2017</v>
      </c>
      <c r="E163" s="26" t="s">
        <v>1</v>
      </c>
      <c r="F163" s="88" t="s">
        <v>91</v>
      </c>
    </row>
    <row r="164" spans="1:11">
      <c r="A164" s="32" t="s">
        <v>1091</v>
      </c>
      <c r="B164" s="1" t="str">
        <f t="shared" si="14"/>
        <v>S</v>
      </c>
      <c r="C164" s="32" t="s">
        <v>1092</v>
      </c>
      <c r="D164" s="26">
        <v>2017</v>
      </c>
      <c r="E164" s="26" t="s">
        <v>1</v>
      </c>
      <c r="F164" s="3" t="s">
        <v>280</v>
      </c>
      <c r="J164" s="97" t="s">
        <v>1165</v>
      </c>
    </row>
    <row r="165" spans="1:11">
      <c r="A165" s="32" t="s">
        <v>1093</v>
      </c>
      <c r="B165" s="1" t="str">
        <f t="shared" si="14"/>
        <v>B</v>
      </c>
      <c r="C165" s="32" t="s">
        <v>400</v>
      </c>
      <c r="D165" s="26">
        <v>2017</v>
      </c>
      <c r="E165" s="26" t="s">
        <v>1</v>
      </c>
      <c r="F165" s="88" t="s">
        <v>695</v>
      </c>
      <c r="K165" s="4" t="s">
        <v>1297</v>
      </c>
    </row>
    <row r="166" spans="1:11">
      <c r="A166" s="32" t="s">
        <v>1094</v>
      </c>
      <c r="B166" s="1" t="str">
        <f t="shared" si="14"/>
        <v>C</v>
      </c>
      <c r="C166" s="32" t="s">
        <v>1095</v>
      </c>
      <c r="D166" s="26">
        <v>2016</v>
      </c>
      <c r="E166" s="26" t="s">
        <v>1</v>
      </c>
      <c r="F166" s="88" t="s">
        <v>250</v>
      </c>
      <c r="K166" s="4" t="s">
        <v>1297</v>
      </c>
    </row>
    <row r="167" spans="1:11">
      <c r="A167" s="32" t="s">
        <v>1096</v>
      </c>
      <c r="B167" s="1" t="str">
        <f t="shared" si="14"/>
        <v>B</v>
      </c>
      <c r="C167" s="32" t="s">
        <v>259</v>
      </c>
      <c r="D167" s="26">
        <v>2016</v>
      </c>
      <c r="E167" s="26" t="s">
        <v>1</v>
      </c>
      <c r="F167" s="88" t="s">
        <v>255</v>
      </c>
      <c r="K167" s="4" t="s">
        <v>1297</v>
      </c>
    </row>
    <row r="168" spans="1:11">
      <c r="A168" s="32" t="s">
        <v>1097</v>
      </c>
      <c r="B168" s="1" t="str">
        <f t="shared" si="14"/>
        <v>D</v>
      </c>
      <c r="C168" s="32" t="s">
        <v>1098</v>
      </c>
      <c r="D168" s="26">
        <v>2016</v>
      </c>
      <c r="E168" s="26" t="s">
        <v>1</v>
      </c>
      <c r="F168" s="32" t="s">
        <v>112</v>
      </c>
    </row>
    <row r="169" spans="1:11">
      <c r="A169" s="32" t="s">
        <v>1099</v>
      </c>
      <c r="B169" s="1" t="str">
        <f t="shared" si="14"/>
        <v>D</v>
      </c>
      <c r="C169" s="32" t="s">
        <v>206</v>
      </c>
      <c r="D169" s="26">
        <v>2016</v>
      </c>
      <c r="E169" s="26" t="s">
        <v>1</v>
      </c>
      <c r="F169" s="88" t="s">
        <v>37</v>
      </c>
    </row>
    <row r="170" spans="1:11">
      <c r="A170" s="32" t="s">
        <v>1100</v>
      </c>
      <c r="B170" s="1" t="str">
        <f t="shared" si="14"/>
        <v>J</v>
      </c>
      <c r="C170" s="32" t="s">
        <v>1101</v>
      </c>
      <c r="D170" s="26">
        <v>2016</v>
      </c>
      <c r="E170" s="26" t="s">
        <v>1</v>
      </c>
      <c r="F170" s="88" t="s">
        <v>104</v>
      </c>
    </row>
    <row r="171" spans="1:11">
      <c r="A171" s="32" t="s">
        <v>1102</v>
      </c>
      <c r="B171" s="1" t="str">
        <f t="shared" si="14"/>
        <v>K</v>
      </c>
      <c r="C171" s="32" t="s">
        <v>1103</v>
      </c>
      <c r="D171" s="26">
        <v>2016</v>
      </c>
      <c r="E171" s="26" t="s">
        <v>1</v>
      </c>
      <c r="F171" s="88" t="s">
        <v>104</v>
      </c>
    </row>
    <row r="172" spans="1:11">
      <c r="A172" s="32" t="s">
        <v>1104</v>
      </c>
      <c r="B172" s="1" t="str">
        <f t="shared" si="14"/>
        <v>L</v>
      </c>
      <c r="C172" s="32" t="s">
        <v>182</v>
      </c>
      <c r="D172" s="26">
        <v>2016</v>
      </c>
      <c r="E172" s="26" t="s">
        <v>1</v>
      </c>
      <c r="F172" s="88" t="s">
        <v>321</v>
      </c>
    </row>
    <row r="173" spans="1:11">
      <c r="A173" s="32" t="s">
        <v>1105</v>
      </c>
      <c r="B173" s="1" t="str">
        <f t="shared" si="14"/>
        <v>L</v>
      </c>
      <c r="C173" s="32" t="s">
        <v>1106</v>
      </c>
      <c r="D173" s="26">
        <v>2016</v>
      </c>
      <c r="E173" s="26" t="s">
        <v>1</v>
      </c>
      <c r="F173" s="88" t="s">
        <v>104</v>
      </c>
      <c r="K173" s="4" t="s">
        <v>1297</v>
      </c>
    </row>
    <row r="174" spans="1:11">
      <c r="A174" s="32" t="s">
        <v>1107</v>
      </c>
      <c r="B174" s="1" t="str">
        <f t="shared" si="14"/>
        <v>P</v>
      </c>
      <c r="C174" s="32" t="s">
        <v>1108</v>
      </c>
      <c r="D174" s="26">
        <v>2016</v>
      </c>
      <c r="E174" s="26" t="s">
        <v>1</v>
      </c>
      <c r="F174" s="88" t="s">
        <v>892</v>
      </c>
      <c r="J174" s="97" t="s">
        <v>1166</v>
      </c>
    </row>
    <row r="175" spans="1:11">
      <c r="A175" s="32" t="s">
        <v>1109</v>
      </c>
      <c r="B175" s="1" t="str">
        <f t="shared" si="14"/>
        <v>R</v>
      </c>
      <c r="C175" s="32" t="s">
        <v>172</v>
      </c>
      <c r="D175" s="26">
        <v>2016</v>
      </c>
      <c r="E175" s="26" t="s">
        <v>1</v>
      </c>
      <c r="F175" s="88" t="s">
        <v>85</v>
      </c>
    </row>
    <row r="176" spans="1:11">
      <c r="A176" s="32" t="s">
        <v>1110</v>
      </c>
      <c r="B176" s="1" t="str">
        <f t="shared" si="14"/>
        <v>R</v>
      </c>
      <c r="C176" s="32" t="s">
        <v>1111</v>
      </c>
      <c r="D176" s="26">
        <v>2016</v>
      </c>
      <c r="E176" s="26" t="s">
        <v>1</v>
      </c>
      <c r="F176" s="32" t="s">
        <v>112</v>
      </c>
      <c r="K176" s="4" t="s">
        <v>1297</v>
      </c>
    </row>
    <row r="177" spans="1:11">
      <c r="A177" s="32" t="s">
        <v>1112</v>
      </c>
      <c r="B177" s="1" t="str">
        <f t="shared" si="14"/>
        <v>R</v>
      </c>
      <c r="C177" s="32" t="s">
        <v>1113</v>
      </c>
      <c r="D177" s="26">
        <v>2016</v>
      </c>
      <c r="E177" s="26" t="s">
        <v>1</v>
      </c>
      <c r="F177" s="88" t="s">
        <v>321</v>
      </c>
    </row>
    <row r="178" spans="1:11">
      <c r="A178" s="32" t="s">
        <v>1114</v>
      </c>
      <c r="B178" s="1" t="str">
        <f t="shared" si="14"/>
        <v>S</v>
      </c>
      <c r="C178" s="32" t="s">
        <v>459</v>
      </c>
      <c r="D178" s="26">
        <v>2016</v>
      </c>
      <c r="E178" s="26" t="s">
        <v>1</v>
      </c>
      <c r="F178" s="88" t="s">
        <v>91</v>
      </c>
      <c r="K178" s="4" t="s">
        <v>1297</v>
      </c>
    </row>
    <row r="179" spans="1:11">
      <c r="A179" s="32" t="s">
        <v>1115</v>
      </c>
      <c r="B179" s="1" t="str">
        <f t="shared" si="14"/>
        <v>T</v>
      </c>
      <c r="C179" s="32" t="s">
        <v>215</v>
      </c>
      <c r="D179" s="26">
        <v>2016</v>
      </c>
      <c r="E179" s="26" t="s">
        <v>1</v>
      </c>
      <c r="F179" s="88" t="s">
        <v>37</v>
      </c>
      <c r="K179" s="4" t="s">
        <v>1297</v>
      </c>
    </row>
    <row r="180" spans="1:11">
      <c r="A180" s="32" t="s">
        <v>1116</v>
      </c>
      <c r="B180" s="1" t="str">
        <f t="shared" si="14"/>
        <v>V</v>
      </c>
      <c r="C180" s="32" t="s">
        <v>1117</v>
      </c>
      <c r="D180" s="26">
        <v>2016</v>
      </c>
      <c r="E180" s="26" t="s">
        <v>1</v>
      </c>
      <c r="F180" s="88" t="s">
        <v>229</v>
      </c>
      <c r="K180" s="4" t="s">
        <v>1297</v>
      </c>
    </row>
    <row r="181" spans="1:11">
      <c r="A181" s="32" t="s">
        <v>1303</v>
      </c>
      <c r="B181" s="1" t="str">
        <f t="shared" si="14"/>
        <v>S</v>
      </c>
      <c r="C181" s="32" t="s">
        <v>1304</v>
      </c>
      <c r="D181" s="26">
        <v>2015</v>
      </c>
      <c r="E181" s="26" t="s">
        <v>1</v>
      </c>
      <c r="F181" s="112" t="s">
        <v>229</v>
      </c>
      <c r="J181" t="s">
        <v>1305</v>
      </c>
      <c r="K181" s="4" t="s">
        <v>1297</v>
      </c>
    </row>
    <row r="182" spans="1:11">
      <c r="A182" s="32" t="s">
        <v>1301</v>
      </c>
      <c r="B182" s="1" t="str">
        <f t="shared" si="14"/>
        <v>C</v>
      </c>
      <c r="C182" s="32" t="s">
        <v>1302</v>
      </c>
      <c r="D182" s="26">
        <v>2015</v>
      </c>
      <c r="E182" s="26" t="s">
        <v>1</v>
      </c>
      <c r="F182" s="112" t="s">
        <v>695</v>
      </c>
    </row>
    <row r="183" spans="1:11">
      <c r="A183" s="32" t="s">
        <v>1300</v>
      </c>
      <c r="B183" s="1" t="str">
        <f t="shared" si="14"/>
        <v>C</v>
      </c>
      <c r="C183" s="32" t="s">
        <v>208</v>
      </c>
      <c r="D183" s="26">
        <v>2015</v>
      </c>
      <c r="E183" s="26" t="s">
        <v>1</v>
      </c>
      <c r="F183" s="88" t="s">
        <v>255</v>
      </c>
      <c r="K183" s="4" t="s">
        <v>1297</v>
      </c>
    </row>
    <row r="184" spans="1:11">
      <c r="A184" s="32" t="s">
        <v>1299</v>
      </c>
      <c r="B184" s="1" t="str">
        <f t="shared" ref="B184" si="16">LEFT(A184)</f>
        <v>B</v>
      </c>
      <c r="C184" s="32" t="s">
        <v>128</v>
      </c>
      <c r="D184" s="26">
        <v>2015</v>
      </c>
      <c r="E184" s="26" t="s">
        <v>1</v>
      </c>
      <c r="F184" s="88" t="s">
        <v>280</v>
      </c>
      <c r="K184" s="4" t="s">
        <v>1297</v>
      </c>
    </row>
    <row r="185" spans="1:11">
      <c r="A185" s="32" t="s">
        <v>1118</v>
      </c>
      <c r="B185" s="1" t="str">
        <f t="shared" si="14"/>
        <v>B</v>
      </c>
      <c r="C185" s="32" t="s">
        <v>1119</v>
      </c>
      <c r="D185" s="26">
        <v>2014</v>
      </c>
      <c r="E185" s="26" t="s">
        <v>1</v>
      </c>
      <c r="F185" s="88" t="s">
        <v>91</v>
      </c>
      <c r="K185" s="4" t="s">
        <v>1297</v>
      </c>
    </row>
    <row r="186" spans="1:11">
      <c r="A186" s="32" t="s">
        <v>1120</v>
      </c>
      <c r="B186" s="1" t="str">
        <f t="shared" si="14"/>
        <v>B</v>
      </c>
      <c r="C186" s="32" t="s">
        <v>305</v>
      </c>
      <c r="D186" s="26">
        <v>2014</v>
      </c>
      <c r="E186" s="26" t="s">
        <v>1</v>
      </c>
      <c r="F186" s="88" t="s">
        <v>167</v>
      </c>
      <c r="J186" s="97" t="s">
        <v>1169</v>
      </c>
      <c r="K186" s="4" t="s">
        <v>1297</v>
      </c>
    </row>
    <row r="187" spans="1:11">
      <c r="A187" s="32" t="s">
        <v>1121</v>
      </c>
      <c r="B187" s="1" t="str">
        <f t="shared" si="14"/>
        <v>B</v>
      </c>
      <c r="C187" s="32" t="s">
        <v>128</v>
      </c>
      <c r="D187" s="26">
        <v>2014</v>
      </c>
      <c r="E187" s="26" t="s">
        <v>1</v>
      </c>
      <c r="F187" s="88" t="s">
        <v>115</v>
      </c>
    </row>
    <row r="188" spans="1:11">
      <c r="A188" s="32" t="s">
        <v>1122</v>
      </c>
      <c r="B188" s="1" t="str">
        <f t="shared" si="14"/>
        <v>D</v>
      </c>
      <c r="C188" s="32" t="s">
        <v>259</v>
      </c>
      <c r="D188" s="26">
        <v>2014</v>
      </c>
      <c r="E188" s="26" t="s">
        <v>1</v>
      </c>
      <c r="F188" s="88" t="s">
        <v>695</v>
      </c>
      <c r="K188" s="4" t="s">
        <v>1297</v>
      </c>
    </row>
    <row r="189" spans="1:11">
      <c r="A189" s="32" t="s">
        <v>1123</v>
      </c>
      <c r="B189" s="1" t="str">
        <f t="shared" si="14"/>
        <v>D</v>
      </c>
      <c r="C189" s="32" t="s">
        <v>1124</v>
      </c>
      <c r="D189" s="26">
        <v>2014</v>
      </c>
      <c r="E189" s="26" t="s">
        <v>1</v>
      </c>
      <c r="F189" s="88" t="s">
        <v>122</v>
      </c>
      <c r="J189" s="97" t="s">
        <v>1168</v>
      </c>
    </row>
    <row r="190" spans="1:11">
      <c r="A190" s="32" t="s">
        <v>1125</v>
      </c>
      <c r="B190" s="1" t="str">
        <f t="shared" si="14"/>
        <v>D</v>
      </c>
      <c r="C190" s="32" t="s">
        <v>176</v>
      </c>
      <c r="D190" s="26">
        <v>2014</v>
      </c>
      <c r="E190" s="26" t="s">
        <v>1</v>
      </c>
      <c r="F190" s="88" t="s">
        <v>455</v>
      </c>
    </row>
    <row r="191" spans="1:11">
      <c r="A191" s="32" t="s">
        <v>1126</v>
      </c>
      <c r="B191" s="1" t="str">
        <f t="shared" si="14"/>
        <v>H</v>
      </c>
      <c r="C191" s="32" t="s">
        <v>1127</v>
      </c>
      <c r="D191" s="26">
        <v>2014</v>
      </c>
      <c r="E191" s="26" t="s">
        <v>1</v>
      </c>
      <c r="F191" s="88" t="s">
        <v>126</v>
      </c>
    </row>
    <row r="192" spans="1:11">
      <c r="A192" s="32" t="s">
        <v>1128</v>
      </c>
      <c r="B192" s="1" t="str">
        <f t="shared" si="14"/>
        <v>J</v>
      </c>
      <c r="C192" s="32" t="s">
        <v>1129</v>
      </c>
      <c r="D192" s="26">
        <v>2014</v>
      </c>
      <c r="E192" s="26" t="s">
        <v>1</v>
      </c>
      <c r="F192" s="88" t="s">
        <v>122</v>
      </c>
      <c r="K192" s="4" t="s">
        <v>1297</v>
      </c>
    </row>
    <row r="193" spans="1:11">
      <c r="A193" s="32" t="s">
        <v>1130</v>
      </c>
      <c r="B193" s="1" t="str">
        <f t="shared" si="14"/>
        <v>M</v>
      </c>
      <c r="C193" s="32" t="s">
        <v>1131</v>
      </c>
      <c r="D193" s="26">
        <v>2014</v>
      </c>
      <c r="E193" s="26" t="s">
        <v>1</v>
      </c>
      <c r="F193" s="3" t="s">
        <v>280</v>
      </c>
      <c r="K193" s="4" t="s">
        <v>1297</v>
      </c>
    </row>
    <row r="194" spans="1:11">
      <c r="A194" s="32" t="s">
        <v>1086</v>
      </c>
      <c r="B194" s="1" t="str">
        <f t="shared" si="14"/>
        <v>M</v>
      </c>
      <c r="C194" s="32" t="s">
        <v>1132</v>
      </c>
      <c r="D194" s="26">
        <v>2014</v>
      </c>
      <c r="E194" s="26" t="s">
        <v>1</v>
      </c>
      <c r="F194" s="88" t="s">
        <v>104</v>
      </c>
      <c r="K194" s="4" t="s">
        <v>1297</v>
      </c>
    </row>
    <row r="195" spans="1:11">
      <c r="A195" s="32" t="s">
        <v>1133</v>
      </c>
      <c r="B195" s="1" t="str">
        <f t="shared" si="14"/>
        <v>P</v>
      </c>
      <c r="C195" s="32" t="s">
        <v>269</v>
      </c>
      <c r="D195" s="26">
        <v>2014</v>
      </c>
      <c r="E195" s="26" t="s">
        <v>1</v>
      </c>
      <c r="F195" s="3" t="s">
        <v>280</v>
      </c>
      <c r="J195" s="97" t="s">
        <v>1167</v>
      </c>
      <c r="K195" s="4" t="s">
        <v>1297</v>
      </c>
    </row>
    <row r="196" spans="1:11">
      <c r="A196" s="32" t="s">
        <v>1134</v>
      </c>
      <c r="B196" s="1" t="str">
        <f t="shared" si="14"/>
        <v>V</v>
      </c>
      <c r="C196" s="32" t="s">
        <v>1106</v>
      </c>
      <c r="D196" s="26">
        <v>2014</v>
      </c>
      <c r="E196" s="26" t="s">
        <v>1</v>
      </c>
      <c r="F196" s="88" t="s">
        <v>1001</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F518:F594</xm:sqref>
        </x14:dataValidation>
        <x14:dataValidation type="list" allowBlank="1" showInputMessage="1" showErrorMessage="1" xr:uid="{137A66A0-BA39-4C8F-AE6C-A9D704E19781}">
          <x14:formula1>
            <xm:f>Ecoles!$A$2:$A$700</xm:f>
          </x14:formula1>
          <xm:sqref>F2:F517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8"/>
  <sheetViews>
    <sheetView tabSelected="1" topLeftCell="A91" zoomScale="84" workbookViewId="0">
      <selection activeCell="K123" sqref="K123"/>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spans="1:14">
      <c r="A1" s="1" t="s">
        <v>272</v>
      </c>
      <c r="B1" s="1" t="s">
        <v>75</v>
      </c>
      <c r="C1" s="2" t="s">
        <v>76</v>
      </c>
      <c r="D1" s="2" t="s">
        <v>77</v>
      </c>
      <c r="E1" s="2" t="s">
        <v>78</v>
      </c>
      <c r="F1" s="2" t="s">
        <v>79</v>
      </c>
      <c r="H1" s="2" t="s">
        <v>81</v>
      </c>
      <c r="I1" s="34" t="s">
        <v>82</v>
      </c>
      <c r="J1" s="2" t="s">
        <v>1147</v>
      </c>
      <c r="K1" s="111" t="s">
        <v>1296</v>
      </c>
    </row>
    <row r="2" spans="1:14">
      <c r="A2" s="1" t="s">
        <v>946</v>
      </c>
      <c r="B2" s="1" t="str">
        <f t="shared" ref="B2" si="0">LEFT(A2)</f>
        <v>C</v>
      </c>
      <c r="C2" s="61" t="s">
        <v>96</v>
      </c>
      <c r="D2" s="61">
        <v>2026</v>
      </c>
      <c r="E2" s="61" t="s">
        <v>8</v>
      </c>
      <c r="F2" s="1" t="s">
        <v>947</v>
      </c>
      <c r="H2" s="79"/>
      <c r="I2" s="79"/>
    </row>
    <row r="3" spans="1:14">
      <c r="A3" s="1" t="s">
        <v>944</v>
      </c>
      <c r="B3" s="1" t="str">
        <f t="shared" ref="B3" si="1">LEFT(A3)</f>
        <v>C</v>
      </c>
      <c r="C3" s="61" t="s">
        <v>945</v>
      </c>
      <c r="D3" s="61">
        <v>2026</v>
      </c>
      <c r="E3" s="61" t="s">
        <v>8</v>
      </c>
      <c r="F3" s="1" t="s">
        <v>115</v>
      </c>
      <c r="H3" s="79"/>
      <c r="I3" s="79"/>
      <c r="K3" t="s">
        <v>1297</v>
      </c>
    </row>
    <row r="4" spans="1:14">
      <c r="A4" s="1" t="s">
        <v>942</v>
      </c>
      <c r="B4" s="1" t="str">
        <f t="shared" ref="B4" si="2">LEFT(A4)</f>
        <v>B</v>
      </c>
      <c r="C4" s="61" t="s">
        <v>943</v>
      </c>
      <c r="D4" s="61">
        <v>2026</v>
      </c>
      <c r="E4" s="61" t="s">
        <v>8</v>
      </c>
      <c r="F4" s="1" t="s">
        <v>115</v>
      </c>
      <c r="H4" s="79"/>
      <c r="I4" s="79"/>
    </row>
    <row r="5" spans="1:14">
      <c r="A5" s="1" t="s">
        <v>941</v>
      </c>
      <c r="B5" s="1" t="str">
        <f t="shared" ref="B5" si="3">LEFT(A5)</f>
        <v>M</v>
      </c>
      <c r="C5" s="61" t="s">
        <v>402</v>
      </c>
      <c r="D5" s="61">
        <v>2026</v>
      </c>
      <c r="E5" s="61" t="s">
        <v>8</v>
      </c>
      <c r="F5" s="1" t="s">
        <v>115</v>
      </c>
      <c r="H5" s="79"/>
      <c r="I5" s="79"/>
    </row>
    <row r="6" spans="1:14">
      <c r="A6" s="1" t="s">
        <v>940</v>
      </c>
      <c r="B6" s="1" t="str">
        <f t="shared" ref="B6" si="4">LEFT(A6)</f>
        <v>M</v>
      </c>
      <c r="C6" s="61" t="s">
        <v>231</v>
      </c>
      <c r="D6" s="61">
        <v>2026</v>
      </c>
      <c r="E6" s="61" t="s">
        <v>8</v>
      </c>
      <c r="F6" s="1" t="s">
        <v>115</v>
      </c>
      <c r="H6" s="79"/>
      <c r="I6" s="79"/>
    </row>
    <row r="7" spans="1:14">
      <c r="A7" s="1" t="s">
        <v>913</v>
      </c>
      <c r="B7" s="1" t="str">
        <f t="shared" ref="B7" si="5">LEFT(A7)</f>
        <v>C</v>
      </c>
      <c r="C7" s="61" t="s">
        <v>125</v>
      </c>
      <c r="D7" s="61">
        <v>2026</v>
      </c>
      <c r="E7" s="61" t="s">
        <v>8</v>
      </c>
      <c r="F7" s="1" t="s">
        <v>264</v>
      </c>
      <c r="H7" s="79"/>
      <c r="I7" s="79"/>
    </row>
    <row r="8" spans="1:14">
      <c r="A8" s="1" t="s">
        <v>910</v>
      </c>
      <c r="B8" s="1" t="str">
        <f t="shared" ref="B8" si="6">LEFT(A8)</f>
        <v>M</v>
      </c>
      <c r="C8" s="61" t="s">
        <v>96</v>
      </c>
      <c r="D8" s="61">
        <v>2026</v>
      </c>
      <c r="E8" s="61" t="s">
        <v>8</v>
      </c>
      <c r="F8" s="1" t="s">
        <v>115</v>
      </c>
      <c r="H8" s="79"/>
      <c r="I8" s="79"/>
    </row>
    <row r="9" spans="1:14">
      <c r="A9" s="1" t="s">
        <v>909</v>
      </c>
      <c r="B9" s="1" t="str">
        <f t="shared" ref="B9" si="7">LEFT(A9)</f>
        <v>B</v>
      </c>
      <c r="C9" s="61" t="s">
        <v>417</v>
      </c>
      <c r="D9" s="61">
        <v>2026</v>
      </c>
      <c r="E9" s="61" t="s">
        <v>8</v>
      </c>
      <c r="F9" s="1" t="s">
        <v>122</v>
      </c>
      <c r="H9" s="79"/>
      <c r="I9" s="79"/>
    </row>
    <row r="10" spans="1:14">
      <c r="A10" s="1" t="s">
        <v>898</v>
      </c>
      <c r="B10" s="1" t="str">
        <f t="shared" ref="B10" si="8">LEFT(A10)</f>
        <v>B</v>
      </c>
      <c r="C10" s="61" t="s">
        <v>899</v>
      </c>
      <c r="D10" s="61">
        <v>2026</v>
      </c>
      <c r="E10" s="61" t="s">
        <v>8</v>
      </c>
      <c r="F10" s="1" t="s">
        <v>900</v>
      </c>
      <c r="H10" s="71"/>
      <c r="I10" s="71"/>
    </row>
    <row r="11" spans="1:14">
      <c r="A11" s="1" t="s">
        <v>273</v>
      </c>
      <c r="B11" s="1" t="str">
        <f t="shared" ref="B11:B42" si="9">LEFT(A11)</f>
        <v>G</v>
      </c>
      <c r="C11" s="61" t="s">
        <v>274</v>
      </c>
      <c r="D11" s="61">
        <v>2026</v>
      </c>
      <c r="E11" s="61" t="s">
        <v>8</v>
      </c>
      <c r="F11" s="1" t="s">
        <v>136</v>
      </c>
      <c r="H11" s="61"/>
      <c r="I11" s="61"/>
    </row>
    <row r="12" spans="1:14">
      <c r="A12" s="1" t="s">
        <v>275</v>
      </c>
      <c r="B12" s="1" t="str">
        <f t="shared" si="9"/>
        <v>R</v>
      </c>
      <c r="C12" s="61" t="s">
        <v>276</v>
      </c>
      <c r="D12" s="61">
        <v>2026</v>
      </c>
      <c r="E12" s="61" t="s">
        <v>8</v>
      </c>
      <c r="F12" s="1" t="s">
        <v>191</v>
      </c>
      <c r="H12" s="61"/>
      <c r="I12" s="61"/>
      <c r="K12" t="s">
        <v>1297</v>
      </c>
    </row>
    <row r="13" spans="1:14">
      <c r="A13" s="1" t="s">
        <v>277</v>
      </c>
      <c r="B13" s="1" t="str">
        <f t="shared" si="9"/>
        <v>B</v>
      </c>
      <c r="C13" s="1" t="s">
        <v>204</v>
      </c>
      <c r="D13" s="1">
        <v>2025</v>
      </c>
      <c r="E13" s="1" t="s">
        <v>8</v>
      </c>
      <c r="F13" s="1" t="s">
        <v>185</v>
      </c>
    </row>
    <row r="14" spans="1:14">
      <c r="A14" s="1" t="s">
        <v>278</v>
      </c>
      <c r="B14" s="1" t="str">
        <f t="shared" si="9"/>
        <v>C</v>
      </c>
      <c r="C14" s="1" t="s">
        <v>279</v>
      </c>
      <c r="D14" s="1">
        <v>2025</v>
      </c>
      <c r="E14" s="1" t="s">
        <v>8</v>
      </c>
      <c r="F14" s="1" t="s">
        <v>280</v>
      </c>
    </row>
    <row r="15" spans="1:14">
      <c r="A15" s="1" t="s">
        <v>281</v>
      </c>
      <c r="B15" s="1" t="str">
        <f t="shared" si="9"/>
        <v>D</v>
      </c>
      <c r="C15" s="1" t="s">
        <v>282</v>
      </c>
      <c r="D15" s="1">
        <v>2025</v>
      </c>
      <c r="E15" s="1" t="s">
        <v>8</v>
      </c>
      <c r="F15" s="1" t="s">
        <v>229</v>
      </c>
      <c r="I15" s="1"/>
      <c r="J15" s="1"/>
      <c r="K15" s="61"/>
      <c r="L15" s="61"/>
      <c r="M15" s="61"/>
      <c r="N15" s="1"/>
    </row>
    <row r="16" spans="1:14">
      <c r="A16" s="1" t="s">
        <v>283</v>
      </c>
      <c r="B16" s="4" t="str">
        <f t="shared" si="9"/>
        <v>F</v>
      </c>
      <c r="C16" s="1" t="s">
        <v>284</v>
      </c>
      <c r="D16" s="1">
        <v>2025</v>
      </c>
      <c r="E16" s="1" t="s">
        <v>8</v>
      </c>
      <c r="F16" s="1" t="s">
        <v>185</v>
      </c>
    </row>
    <row r="17" spans="1:11">
      <c r="A17" s="1" t="s">
        <v>285</v>
      </c>
      <c r="B17" s="4" t="str">
        <f t="shared" si="9"/>
        <v>S</v>
      </c>
      <c r="C17" s="1" t="s">
        <v>286</v>
      </c>
      <c r="D17" s="1">
        <v>2025</v>
      </c>
      <c r="E17" s="1" t="s">
        <v>8</v>
      </c>
      <c r="F17" s="1" t="s">
        <v>104</v>
      </c>
    </row>
    <row r="18" spans="1:11">
      <c r="A18" s="1" t="s">
        <v>287</v>
      </c>
      <c r="B18" s="4" t="str">
        <f t="shared" si="9"/>
        <v>U</v>
      </c>
      <c r="C18" s="1" t="s">
        <v>288</v>
      </c>
      <c r="D18" s="1">
        <v>2025</v>
      </c>
      <c r="E18" s="1" t="s">
        <v>8</v>
      </c>
      <c r="F18" s="1" t="s">
        <v>91</v>
      </c>
    </row>
    <row r="19" spans="1:11">
      <c r="A19" s="1" t="s">
        <v>289</v>
      </c>
      <c r="B19" s="4" t="str">
        <f t="shared" si="9"/>
        <v>W</v>
      </c>
      <c r="C19" s="1" t="s">
        <v>290</v>
      </c>
      <c r="D19" s="1">
        <v>2025</v>
      </c>
      <c r="E19" s="1" t="s">
        <v>8</v>
      </c>
      <c r="F19" s="1" t="s">
        <v>37</v>
      </c>
    </row>
    <row r="20" spans="1:11">
      <c r="A20" s="1" t="s">
        <v>291</v>
      </c>
      <c r="B20" s="4" t="str">
        <f t="shared" si="9"/>
        <v>T</v>
      </c>
      <c r="C20" s="1" t="s">
        <v>292</v>
      </c>
      <c r="D20" s="1">
        <v>2025</v>
      </c>
      <c r="E20" s="1" t="s">
        <v>8</v>
      </c>
      <c r="F20" s="1" t="s">
        <v>37</v>
      </c>
      <c r="K20" t="s">
        <v>1297</v>
      </c>
    </row>
    <row r="21" spans="1:11">
      <c r="A21" s="1" t="s">
        <v>105</v>
      </c>
      <c r="B21" s="4" t="str">
        <f t="shared" si="9"/>
        <v>G</v>
      </c>
      <c r="C21" s="1" t="s">
        <v>293</v>
      </c>
      <c r="D21" s="1">
        <v>2025</v>
      </c>
      <c r="E21" s="1" t="s">
        <v>8</v>
      </c>
      <c r="F21" s="1" t="s">
        <v>122</v>
      </c>
      <c r="K21" t="s">
        <v>1297</v>
      </c>
    </row>
    <row r="22" spans="1:11">
      <c r="A22" s="1" t="s">
        <v>294</v>
      </c>
      <c r="B22" s="4" t="str">
        <f t="shared" si="9"/>
        <v>S</v>
      </c>
      <c r="C22" s="1" t="s">
        <v>295</v>
      </c>
      <c r="D22" s="1">
        <v>2025</v>
      </c>
      <c r="E22" s="1" t="s">
        <v>8</v>
      </c>
      <c r="F22" s="1" t="s">
        <v>115</v>
      </c>
      <c r="K22" t="s">
        <v>1297</v>
      </c>
    </row>
    <row r="23" spans="1:11">
      <c r="A23" s="1" t="s">
        <v>296</v>
      </c>
      <c r="B23" s="4" t="str">
        <f t="shared" si="9"/>
        <v>B</v>
      </c>
      <c r="C23" s="1" t="s">
        <v>297</v>
      </c>
      <c r="D23" s="1">
        <v>2024</v>
      </c>
      <c r="E23" s="1" t="s">
        <v>8</v>
      </c>
      <c r="F23" s="1" t="s">
        <v>115</v>
      </c>
    </row>
    <row r="24" spans="1:11">
      <c r="A24" s="1" t="s">
        <v>298</v>
      </c>
      <c r="B24" s="4" t="str">
        <f t="shared" si="9"/>
        <v>E</v>
      </c>
      <c r="C24" s="1" t="s">
        <v>299</v>
      </c>
      <c r="D24" s="1">
        <v>2024</v>
      </c>
      <c r="E24" s="1" t="s">
        <v>8</v>
      </c>
      <c r="F24" s="1" t="s">
        <v>122</v>
      </c>
    </row>
    <row r="25" spans="1:11">
      <c r="A25" s="1" t="s">
        <v>300</v>
      </c>
      <c r="B25" s="4" t="str">
        <f t="shared" si="9"/>
        <v>G</v>
      </c>
      <c r="C25" s="1" t="s">
        <v>301</v>
      </c>
      <c r="D25" s="1">
        <v>2024</v>
      </c>
      <c r="E25" s="1" t="s">
        <v>8</v>
      </c>
      <c r="F25" s="1" t="s">
        <v>115</v>
      </c>
      <c r="K25" t="s">
        <v>1297</v>
      </c>
    </row>
    <row r="26" spans="1:11">
      <c r="A26" s="1" t="s">
        <v>302</v>
      </c>
      <c r="B26" s="4" t="str">
        <f t="shared" si="9"/>
        <v>H</v>
      </c>
      <c r="C26" s="1" t="s">
        <v>303</v>
      </c>
      <c r="D26" s="1">
        <v>2024</v>
      </c>
      <c r="E26" s="1" t="s">
        <v>8</v>
      </c>
      <c r="F26" s="1" t="s">
        <v>115</v>
      </c>
    </row>
    <row r="27" spans="1:11">
      <c r="A27" s="1" t="s">
        <v>304</v>
      </c>
      <c r="B27" s="4" t="str">
        <f t="shared" si="9"/>
        <v>P</v>
      </c>
      <c r="C27" s="1" t="s">
        <v>305</v>
      </c>
      <c r="D27" s="1">
        <v>2024</v>
      </c>
      <c r="E27" s="1" t="s">
        <v>8</v>
      </c>
      <c r="F27" s="1" t="s">
        <v>126</v>
      </c>
    </row>
    <row r="28" spans="1:11">
      <c r="A28" s="1" t="s">
        <v>306</v>
      </c>
      <c r="B28" s="4" t="str">
        <f t="shared" si="9"/>
        <v>R</v>
      </c>
      <c r="C28" s="1" t="s">
        <v>307</v>
      </c>
      <c r="D28" s="1">
        <v>2024</v>
      </c>
      <c r="E28" s="1" t="s">
        <v>8</v>
      </c>
      <c r="F28" s="1" t="s">
        <v>144</v>
      </c>
    </row>
    <row r="29" spans="1:11">
      <c r="A29" s="1" t="s">
        <v>308</v>
      </c>
      <c r="B29" s="4" t="str">
        <f t="shared" si="9"/>
        <v>L</v>
      </c>
      <c r="C29" s="1" t="s">
        <v>309</v>
      </c>
      <c r="D29" s="1">
        <v>2024</v>
      </c>
      <c r="E29" s="1" t="s">
        <v>8</v>
      </c>
      <c r="F29" s="1" t="s">
        <v>126</v>
      </c>
      <c r="K29" t="s">
        <v>1297</v>
      </c>
    </row>
    <row r="30" spans="1:11">
      <c r="A30" t="s">
        <v>310</v>
      </c>
      <c r="B30" s="4" t="str">
        <f t="shared" si="9"/>
        <v>M</v>
      </c>
      <c r="C30" t="s">
        <v>311</v>
      </c>
      <c r="D30" s="1">
        <v>2024</v>
      </c>
      <c r="E30" s="1" t="s">
        <v>8</v>
      </c>
      <c r="F30" s="1" t="s">
        <v>115</v>
      </c>
      <c r="K30" t="s">
        <v>1297</v>
      </c>
    </row>
    <row r="31" spans="1:11">
      <c r="A31" s="7" t="s">
        <v>312</v>
      </c>
      <c r="B31" s="4" t="str">
        <f t="shared" si="9"/>
        <v>R</v>
      </c>
      <c r="C31" t="s">
        <v>101</v>
      </c>
      <c r="D31" s="1">
        <v>2024</v>
      </c>
      <c r="E31" s="1" t="s">
        <v>8</v>
      </c>
      <c r="F31" s="1" t="s">
        <v>104</v>
      </c>
      <c r="K31" t="s">
        <v>1297</v>
      </c>
    </row>
    <row r="32" spans="1:11">
      <c r="A32" s="1" t="s">
        <v>313</v>
      </c>
      <c r="B32" s="4" t="str">
        <f t="shared" si="9"/>
        <v>F</v>
      </c>
      <c r="C32" t="s">
        <v>314</v>
      </c>
      <c r="D32" s="1">
        <v>2023</v>
      </c>
      <c r="E32" s="1" t="s">
        <v>8</v>
      </c>
      <c r="F32" s="1" t="s">
        <v>112</v>
      </c>
    </row>
    <row r="33" spans="1:11">
      <c r="A33" s="1" t="s">
        <v>315</v>
      </c>
      <c r="B33" s="4" t="str">
        <f t="shared" si="9"/>
        <v>G</v>
      </c>
      <c r="C33" t="s">
        <v>316</v>
      </c>
      <c r="D33" s="1">
        <v>2023</v>
      </c>
      <c r="E33" s="1" t="s">
        <v>8</v>
      </c>
      <c r="F33" s="1" t="s">
        <v>122</v>
      </c>
    </row>
    <row r="34" spans="1:11">
      <c r="A34" t="s">
        <v>317</v>
      </c>
      <c r="B34" s="4" t="str">
        <f t="shared" si="9"/>
        <v>J</v>
      </c>
      <c r="C34" s="1" t="s">
        <v>148</v>
      </c>
      <c r="D34" s="1">
        <v>2023</v>
      </c>
      <c r="E34" s="1" t="s">
        <v>8</v>
      </c>
      <c r="F34" s="1" t="s">
        <v>255</v>
      </c>
    </row>
    <row r="35" spans="1:11">
      <c r="A35" s="1" t="s">
        <v>318</v>
      </c>
      <c r="B35" s="4" t="str">
        <f t="shared" si="9"/>
        <v>L</v>
      </c>
      <c r="C35" t="s">
        <v>274</v>
      </c>
      <c r="D35" s="1">
        <v>2023</v>
      </c>
      <c r="E35" s="1" t="s">
        <v>8</v>
      </c>
      <c r="F35" s="1" t="s">
        <v>319</v>
      </c>
    </row>
    <row r="36" spans="1:11">
      <c r="A36" t="s">
        <v>320</v>
      </c>
      <c r="B36" s="4" t="str">
        <f t="shared" si="9"/>
        <v>P</v>
      </c>
      <c r="C36" t="s">
        <v>259</v>
      </c>
      <c r="D36" s="1">
        <v>2023</v>
      </c>
      <c r="E36" s="1" t="s">
        <v>8</v>
      </c>
      <c r="F36" s="1" t="s">
        <v>321</v>
      </c>
    </row>
    <row r="37" spans="1:11">
      <c r="A37" s="7" t="s">
        <v>322</v>
      </c>
      <c r="B37" s="4" t="str">
        <f t="shared" si="9"/>
        <v>S</v>
      </c>
      <c r="C37" s="7" t="s">
        <v>323</v>
      </c>
      <c r="D37" s="1">
        <v>2023</v>
      </c>
      <c r="E37" s="1" t="s">
        <v>8</v>
      </c>
      <c r="F37" t="s">
        <v>126</v>
      </c>
      <c r="H37" s="36" t="s">
        <v>954</v>
      </c>
    </row>
    <row r="38" spans="1:11">
      <c r="A38" s="7" t="s">
        <v>324</v>
      </c>
      <c r="B38" s="4" t="str">
        <f t="shared" si="9"/>
        <v>V</v>
      </c>
      <c r="C38" s="7" t="s">
        <v>325</v>
      </c>
      <c r="D38" s="1">
        <v>2023</v>
      </c>
      <c r="E38" s="1" t="s">
        <v>8</v>
      </c>
      <c r="F38" t="s">
        <v>112</v>
      </c>
    </row>
    <row r="39" spans="1:11">
      <c r="A39" s="7" t="s">
        <v>326</v>
      </c>
      <c r="B39" s="4" t="str">
        <f t="shared" si="9"/>
        <v>B</v>
      </c>
      <c r="C39" s="7" t="s">
        <v>327</v>
      </c>
      <c r="D39" s="1">
        <v>2023</v>
      </c>
      <c r="E39" s="1" t="s">
        <v>8</v>
      </c>
      <c r="F39" t="s">
        <v>112</v>
      </c>
      <c r="K39" t="s">
        <v>1297</v>
      </c>
    </row>
    <row r="40" spans="1:11">
      <c r="A40" s="7" t="s">
        <v>328</v>
      </c>
      <c r="B40" s="4" t="str">
        <f t="shared" si="9"/>
        <v>D</v>
      </c>
      <c r="C40" s="7" t="s">
        <v>226</v>
      </c>
      <c r="D40" s="1">
        <v>2023</v>
      </c>
      <c r="E40" s="1" t="s">
        <v>8</v>
      </c>
      <c r="F40" t="s">
        <v>104</v>
      </c>
      <c r="K40" t="s">
        <v>1297</v>
      </c>
    </row>
    <row r="41" spans="1:11">
      <c r="A41" s="7" t="s">
        <v>329</v>
      </c>
      <c r="B41" s="4" t="str">
        <f t="shared" si="9"/>
        <v>B</v>
      </c>
      <c r="C41" t="s">
        <v>330</v>
      </c>
      <c r="D41" s="1">
        <v>2022</v>
      </c>
      <c r="E41" s="1" t="s">
        <v>8</v>
      </c>
      <c r="F41" t="s">
        <v>331</v>
      </c>
    </row>
    <row r="42" spans="1:11">
      <c r="A42" s="7" t="s">
        <v>332</v>
      </c>
      <c r="B42" s="4" t="str">
        <f t="shared" si="9"/>
        <v>C</v>
      </c>
      <c r="C42" s="7" t="s">
        <v>333</v>
      </c>
      <c r="D42" s="1">
        <v>2022</v>
      </c>
      <c r="E42" s="1" t="s">
        <v>8</v>
      </c>
      <c r="F42" t="s">
        <v>112</v>
      </c>
    </row>
    <row r="43" spans="1:11">
      <c r="A43" s="7" t="s">
        <v>334</v>
      </c>
      <c r="B43" s="4" t="str">
        <f t="shared" ref="B43:B74" si="10">LEFT(A43)</f>
        <v>C</v>
      </c>
      <c r="C43" s="7" t="s">
        <v>335</v>
      </c>
      <c r="D43" s="1">
        <v>2022</v>
      </c>
      <c r="E43" s="1" t="s">
        <v>8</v>
      </c>
      <c r="F43" t="s">
        <v>112</v>
      </c>
      <c r="J43" s="98" t="s">
        <v>1172</v>
      </c>
    </row>
    <row r="44" spans="1:11">
      <c r="A44" s="7" t="s">
        <v>336</v>
      </c>
      <c r="B44" s="4" t="str">
        <f t="shared" si="10"/>
        <v>F</v>
      </c>
      <c r="C44" s="7" t="s">
        <v>101</v>
      </c>
      <c r="D44" s="1">
        <v>2022</v>
      </c>
      <c r="E44" s="1" t="s">
        <v>8</v>
      </c>
      <c r="F44" t="s">
        <v>337</v>
      </c>
    </row>
    <row r="45" spans="1:11">
      <c r="A45" s="7" t="s">
        <v>338</v>
      </c>
      <c r="B45" s="4" t="str">
        <f t="shared" si="10"/>
        <v>G</v>
      </c>
      <c r="C45" s="7" t="s">
        <v>339</v>
      </c>
      <c r="D45" s="1">
        <v>2022</v>
      </c>
      <c r="E45" s="1" t="s">
        <v>8</v>
      </c>
      <c r="F45" t="s">
        <v>185</v>
      </c>
    </row>
    <row r="46" spans="1:11">
      <c r="A46" s="7" t="s">
        <v>340</v>
      </c>
      <c r="B46" s="1" t="str">
        <f t="shared" si="10"/>
        <v>J</v>
      </c>
      <c r="C46" s="7" t="s">
        <v>341</v>
      </c>
      <c r="D46" s="1">
        <v>2022</v>
      </c>
      <c r="E46" s="1" t="s">
        <v>8</v>
      </c>
      <c r="F46" t="s">
        <v>342</v>
      </c>
    </row>
    <row r="47" spans="1:11">
      <c r="A47" s="7" t="s">
        <v>343</v>
      </c>
      <c r="B47" s="1" t="str">
        <f t="shared" si="10"/>
        <v>L</v>
      </c>
      <c r="C47" s="7" t="s">
        <v>344</v>
      </c>
      <c r="D47" s="1">
        <v>2022</v>
      </c>
      <c r="E47" s="1" t="s">
        <v>8</v>
      </c>
      <c r="F47" t="s">
        <v>280</v>
      </c>
    </row>
    <row r="48" spans="1:11">
      <c r="A48" s="7" t="s">
        <v>345</v>
      </c>
      <c r="B48" s="1" t="str">
        <f t="shared" si="10"/>
        <v>R</v>
      </c>
      <c r="C48" s="7" t="s">
        <v>346</v>
      </c>
      <c r="D48" s="1">
        <v>2022</v>
      </c>
      <c r="E48" s="1" t="s">
        <v>8</v>
      </c>
      <c r="F48" t="s">
        <v>104</v>
      </c>
      <c r="J48" s="99" t="s">
        <v>1176</v>
      </c>
    </row>
    <row r="49" spans="1:11">
      <c r="A49" s="7" t="s">
        <v>347</v>
      </c>
      <c r="B49" s="1" t="str">
        <f t="shared" si="10"/>
        <v>V</v>
      </c>
      <c r="C49" s="7" t="s">
        <v>339</v>
      </c>
      <c r="D49" s="1">
        <v>2022</v>
      </c>
      <c r="E49" s="1" t="s">
        <v>8</v>
      </c>
      <c r="F49" t="s">
        <v>264</v>
      </c>
    </row>
    <row r="50" spans="1:11">
      <c r="A50" t="s">
        <v>348</v>
      </c>
      <c r="B50" s="1" t="str">
        <f t="shared" si="10"/>
        <v>W</v>
      </c>
      <c r="C50" s="7" t="s">
        <v>349</v>
      </c>
      <c r="D50" s="1">
        <v>2022</v>
      </c>
      <c r="E50" s="1" t="s">
        <v>8</v>
      </c>
      <c r="F50" t="s">
        <v>350</v>
      </c>
    </row>
    <row r="51" spans="1:11">
      <c r="A51" s="7" t="s">
        <v>351</v>
      </c>
      <c r="B51" s="1" t="str">
        <f t="shared" si="10"/>
        <v>B</v>
      </c>
      <c r="C51" s="7" t="s">
        <v>352</v>
      </c>
      <c r="D51" s="1">
        <v>2022</v>
      </c>
      <c r="E51" s="1" t="s">
        <v>8</v>
      </c>
      <c r="F51" t="s">
        <v>321</v>
      </c>
      <c r="K51" t="s">
        <v>1297</v>
      </c>
    </row>
    <row r="52" spans="1:11">
      <c r="A52" s="7" t="s">
        <v>353</v>
      </c>
      <c r="B52" s="1" t="str">
        <f t="shared" si="10"/>
        <v>M</v>
      </c>
      <c r="C52" s="7" t="s">
        <v>133</v>
      </c>
      <c r="D52" s="1">
        <v>2022</v>
      </c>
      <c r="E52" s="1" t="s">
        <v>8</v>
      </c>
      <c r="F52" t="s">
        <v>185</v>
      </c>
      <c r="K52" t="s">
        <v>1297</v>
      </c>
    </row>
    <row r="53" spans="1:11">
      <c r="A53" s="7" t="s">
        <v>354</v>
      </c>
      <c r="B53" s="1" t="str">
        <f t="shared" si="10"/>
        <v>P</v>
      </c>
      <c r="C53" s="7" t="s">
        <v>355</v>
      </c>
      <c r="D53" s="1">
        <v>2022</v>
      </c>
      <c r="E53" s="1" t="s">
        <v>8</v>
      </c>
      <c r="F53" t="s">
        <v>185</v>
      </c>
      <c r="K53" t="s">
        <v>1297</v>
      </c>
    </row>
    <row r="54" spans="1:11">
      <c r="A54" s="7" t="s">
        <v>356</v>
      </c>
      <c r="B54" s="1" t="str">
        <f t="shared" si="10"/>
        <v>B</v>
      </c>
      <c r="C54" s="7" t="s">
        <v>148</v>
      </c>
      <c r="D54" s="1">
        <v>2021</v>
      </c>
      <c r="E54" s="1" t="s">
        <v>8</v>
      </c>
      <c r="F54" t="s">
        <v>115</v>
      </c>
      <c r="I54" s="36" t="s">
        <v>938</v>
      </c>
      <c r="J54" s="98" t="s">
        <v>1174</v>
      </c>
    </row>
    <row r="55" spans="1:11">
      <c r="A55" s="7" t="s">
        <v>357</v>
      </c>
      <c r="B55" s="1" t="str">
        <f t="shared" si="10"/>
        <v>E</v>
      </c>
      <c r="C55" s="7" t="s">
        <v>358</v>
      </c>
      <c r="D55" s="1">
        <v>2021</v>
      </c>
      <c r="E55" s="1" t="s">
        <v>8</v>
      </c>
      <c r="F55" t="s">
        <v>229</v>
      </c>
    </row>
    <row r="56" spans="1:11">
      <c r="A56" s="7" t="s">
        <v>359</v>
      </c>
      <c r="B56" s="1" t="str">
        <f t="shared" si="10"/>
        <v>R</v>
      </c>
      <c r="C56" s="7" t="s">
        <v>266</v>
      </c>
      <c r="D56" s="1">
        <v>2021</v>
      </c>
      <c r="E56" s="1" t="s">
        <v>8</v>
      </c>
      <c r="F56" t="s">
        <v>144</v>
      </c>
      <c r="H56" s="36" t="s">
        <v>360</v>
      </c>
      <c r="I56" s="36" t="s">
        <v>361</v>
      </c>
      <c r="J56" s="99" t="s">
        <v>1175</v>
      </c>
    </row>
    <row r="57" spans="1:11">
      <c r="A57" s="7" t="s">
        <v>362</v>
      </c>
      <c r="B57" s="1" t="str">
        <f t="shared" si="10"/>
        <v>R</v>
      </c>
      <c r="C57" s="7" t="s">
        <v>266</v>
      </c>
      <c r="D57" s="1">
        <v>2021</v>
      </c>
      <c r="E57" s="1" t="s">
        <v>8</v>
      </c>
      <c r="F57" t="s">
        <v>126</v>
      </c>
    </row>
    <row r="58" spans="1:11">
      <c r="A58" s="7" t="s">
        <v>285</v>
      </c>
      <c r="B58" s="1" t="str">
        <f t="shared" si="10"/>
        <v>S</v>
      </c>
      <c r="C58" s="7" t="s">
        <v>363</v>
      </c>
      <c r="D58" s="1">
        <v>2021</v>
      </c>
      <c r="E58" s="1" t="s">
        <v>8</v>
      </c>
      <c r="F58" t="s">
        <v>141</v>
      </c>
    </row>
    <row r="59" spans="1:11">
      <c r="A59" s="7" t="s">
        <v>364</v>
      </c>
      <c r="B59" s="1" t="str">
        <f t="shared" si="10"/>
        <v>A</v>
      </c>
      <c r="C59" s="7" t="s">
        <v>252</v>
      </c>
      <c r="D59" s="1">
        <v>2021</v>
      </c>
      <c r="E59" s="1" t="s">
        <v>8</v>
      </c>
      <c r="F59" t="s">
        <v>255</v>
      </c>
    </row>
    <row r="60" spans="1:11">
      <c r="A60" s="7" t="s">
        <v>365</v>
      </c>
      <c r="B60" s="1" t="str">
        <f t="shared" si="10"/>
        <v>B</v>
      </c>
      <c r="C60" s="7" t="s">
        <v>366</v>
      </c>
      <c r="D60" s="1">
        <v>2021</v>
      </c>
      <c r="E60" s="1" t="s">
        <v>8</v>
      </c>
      <c r="F60" t="s">
        <v>367</v>
      </c>
    </row>
    <row r="61" spans="1:11">
      <c r="A61" s="7" t="s">
        <v>368</v>
      </c>
      <c r="B61" s="1" t="str">
        <f t="shared" si="10"/>
        <v>K</v>
      </c>
      <c r="C61" s="7" t="s">
        <v>369</v>
      </c>
      <c r="D61" s="1">
        <v>2021</v>
      </c>
      <c r="E61" s="1" t="s">
        <v>8</v>
      </c>
      <c r="F61" t="s">
        <v>122</v>
      </c>
      <c r="K61" t="s">
        <v>1297</v>
      </c>
    </row>
    <row r="62" spans="1:11">
      <c r="A62" s="7" t="s">
        <v>370</v>
      </c>
      <c r="B62" s="1" t="str">
        <f t="shared" si="10"/>
        <v>L</v>
      </c>
      <c r="C62" s="7" t="s">
        <v>371</v>
      </c>
      <c r="D62" s="1">
        <v>2021</v>
      </c>
      <c r="E62" s="1" t="s">
        <v>8</v>
      </c>
      <c r="F62" t="s">
        <v>337</v>
      </c>
      <c r="K62" t="s">
        <v>1297</v>
      </c>
    </row>
    <row r="63" spans="1:11">
      <c r="A63" s="7" t="s">
        <v>372</v>
      </c>
      <c r="B63" s="1" t="str">
        <f t="shared" si="10"/>
        <v>L</v>
      </c>
      <c r="C63" s="7" t="s">
        <v>373</v>
      </c>
      <c r="D63" s="1">
        <v>2021</v>
      </c>
      <c r="E63" s="1" t="s">
        <v>8</v>
      </c>
      <c r="F63" t="s">
        <v>115</v>
      </c>
      <c r="I63" s="36" t="s">
        <v>939</v>
      </c>
      <c r="J63" s="98" t="s">
        <v>1173</v>
      </c>
      <c r="K63" t="s">
        <v>1297</v>
      </c>
    </row>
    <row r="64" spans="1:11">
      <c r="A64" s="7" t="s">
        <v>374</v>
      </c>
      <c r="B64" s="1" t="str">
        <f t="shared" si="10"/>
        <v>P</v>
      </c>
      <c r="C64" s="7" t="s">
        <v>133</v>
      </c>
      <c r="D64" s="1">
        <v>2021</v>
      </c>
      <c r="E64" s="1" t="s">
        <v>8</v>
      </c>
      <c r="F64" t="s">
        <v>112</v>
      </c>
      <c r="K64" t="s">
        <v>1297</v>
      </c>
    </row>
    <row r="65" spans="1:11">
      <c r="A65" t="s">
        <v>375</v>
      </c>
      <c r="B65" s="1" t="str">
        <f t="shared" si="10"/>
        <v>P</v>
      </c>
      <c r="C65" t="s">
        <v>376</v>
      </c>
      <c r="D65" s="1">
        <v>2021</v>
      </c>
      <c r="E65" s="1" t="s">
        <v>8</v>
      </c>
      <c r="F65" t="s">
        <v>122</v>
      </c>
    </row>
    <row r="66" spans="1:11">
      <c r="A66" s="7" t="s">
        <v>377</v>
      </c>
      <c r="B66" s="1" t="str">
        <f t="shared" si="10"/>
        <v>A</v>
      </c>
      <c r="C66" s="7" t="s">
        <v>378</v>
      </c>
      <c r="D66" s="1">
        <v>2020</v>
      </c>
      <c r="E66" s="1" t="s">
        <v>8</v>
      </c>
      <c r="F66" t="s">
        <v>126</v>
      </c>
    </row>
    <row r="67" spans="1:11">
      <c r="A67" s="7" t="s">
        <v>379</v>
      </c>
      <c r="B67" s="1" t="str">
        <f t="shared" si="10"/>
        <v>C</v>
      </c>
      <c r="C67" s="7" t="s">
        <v>128</v>
      </c>
      <c r="D67" s="1">
        <v>2020</v>
      </c>
      <c r="E67" s="1" t="s">
        <v>8</v>
      </c>
      <c r="F67" t="s">
        <v>122</v>
      </c>
    </row>
    <row r="68" spans="1:11">
      <c r="A68" s="7" t="s">
        <v>380</v>
      </c>
      <c r="B68" s="1" t="str">
        <f t="shared" si="10"/>
        <v>M</v>
      </c>
      <c r="C68" s="7" t="s">
        <v>381</v>
      </c>
      <c r="D68" s="1">
        <v>2020</v>
      </c>
      <c r="E68" s="1" t="s">
        <v>8</v>
      </c>
      <c r="F68" t="s">
        <v>104</v>
      </c>
      <c r="H68" s="36" t="s">
        <v>956</v>
      </c>
      <c r="I68" s="36" t="s">
        <v>955</v>
      </c>
    </row>
    <row r="69" spans="1:11">
      <c r="A69" t="s">
        <v>382</v>
      </c>
      <c r="B69" s="1" t="str">
        <f t="shared" si="10"/>
        <v>A</v>
      </c>
      <c r="C69" s="9" t="s">
        <v>383</v>
      </c>
      <c r="D69" s="1">
        <v>2020</v>
      </c>
      <c r="E69" s="1" t="s">
        <v>8</v>
      </c>
      <c r="F69" t="s">
        <v>144</v>
      </c>
      <c r="K69" t="s">
        <v>1297</v>
      </c>
    </row>
    <row r="70" spans="1:11">
      <c r="A70" t="s">
        <v>384</v>
      </c>
      <c r="B70" s="1" t="str">
        <f t="shared" si="10"/>
        <v>D</v>
      </c>
      <c r="C70" s="9" t="s">
        <v>385</v>
      </c>
      <c r="D70" s="1">
        <v>2020</v>
      </c>
      <c r="E70" s="1" t="s">
        <v>8</v>
      </c>
      <c r="F70" t="s">
        <v>99</v>
      </c>
      <c r="K70" t="s">
        <v>1297</v>
      </c>
    </row>
    <row r="71" spans="1:11">
      <c r="A71" t="s">
        <v>386</v>
      </c>
      <c r="B71" s="1" t="str">
        <f t="shared" si="10"/>
        <v>M</v>
      </c>
      <c r="C71" s="9" t="s">
        <v>387</v>
      </c>
      <c r="D71" s="1">
        <v>2020</v>
      </c>
      <c r="E71" s="1" t="s">
        <v>8</v>
      </c>
      <c r="F71" t="s">
        <v>319</v>
      </c>
      <c r="K71" t="s">
        <v>1297</v>
      </c>
    </row>
    <row r="72" spans="1:11">
      <c r="A72" t="s">
        <v>388</v>
      </c>
      <c r="B72" s="1" t="str">
        <f t="shared" si="10"/>
        <v>P</v>
      </c>
      <c r="C72" s="9" t="s">
        <v>389</v>
      </c>
      <c r="D72" s="1">
        <v>2020</v>
      </c>
      <c r="E72" s="1" t="s">
        <v>8</v>
      </c>
      <c r="F72" t="s">
        <v>185</v>
      </c>
      <c r="K72" t="s">
        <v>1297</v>
      </c>
    </row>
    <row r="73" spans="1:11">
      <c r="A73" t="s">
        <v>1306</v>
      </c>
      <c r="B73" s="1" t="str">
        <f t="shared" ref="B73" si="11">LEFT(A73)</f>
        <v>T</v>
      </c>
      <c r="C73" s="112" t="s">
        <v>196</v>
      </c>
      <c r="D73" s="1">
        <v>2020</v>
      </c>
      <c r="E73" s="1" t="s">
        <v>8</v>
      </c>
      <c r="F73" t="s">
        <v>255</v>
      </c>
      <c r="K73" t="s">
        <v>1297</v>
      </c>
    </row>
    <row r="74" spans="1:11">
      <c r="A74" t="s">
        <v>390</v>
      </c>
      <c r="B74" s="1" t="str">
        <f t="shared" si="10"/>
        <v>C</v>
      </c>
      <c r="C74" s="9" t="s">
        <v>391</v>
      </c>
      <c r="D74" s="1">
        <v>2019</v>
      </c>
      <c r="E74" s="1" t="s">
        <v>8</v>
      </c>
      <c r="F74" t="s">
        <v>209</v>
      </c>
    </row>
    <row r="75" spans="1:11">
      <c r="A75" t="s">
        <v>392</v>
      </c>
      <c r="B75" s="1" t="str">
        <f t="shared" ref="B75:B106" si="12">LEFT(A75)</f>
        <v>C</v>
      </c>
      <c r="C75" s="9" t="s">
        <v>249</v>
      </c>
      <c r="D75" s="1">
        <v>2019</v>
      </c>
      <c r="E75" s="1" t="s">
        <v>8</v>
      </c>
      <c r="F75" t="s">
        <v>319</v>
      </c>
    </row>
    <row r="76" spans="1:11">
      <c r="A76" t="s">
        <v>393</v>
      </c>
      <c r="B76" s="1" t="str">
        <f t="shared" si="12"/>
        <v>L</v>
      </c>
      <c r="C76" t="s">
        <v>394</v>
      </c>
      <c r="D76" s="1">
        <v>2019</v>
      </c>
      <c r="E76" s="1" t="s">
        <v>8</v>
      </c>
      <c r="F76" t="s">
        <v>331</v>
      </c>
    </row>
    <row r="77" spans="1:11">
      <c r="A77" t="s">
        <v>395</v>
      </c>
      <c r="B77" s="1" t="str">
        <f t="shared" si="12"/>
        <v>R</v>
      </c>
      <c r="C77" t="s">
        <v>159</v>
      </c>
      <c r="D77" s="1">
        <v>2019</v>
      </c>
      <c r="E77" s="1" t="s">
        <v>8</v>
      </c>
      <c r="F77" t="s">
        <v>122</v>
      </c>
    </row>
    <row r="78" spans="1:11">
      <c r="A78" t="s">
        <v>396</v>
      </c>
      <c r="B78" s="1" t="str">
        <f t="shared" si="12"/>
        <v>R</v>
      </c>
      <c r="C78" t="s">
        <v>397</v>
      </c>
      <c r="D78" s="1">
        <v>2019</v>
      </c>
      <c r="E78" s="1" t="s">
        <v>8</v>
      </c>
      <c r="F78" t="s">
        <v>280</v>
      </c>
    </row>
    <row r="79" spans="1:11">
      <c r="A79" t="s">
        <v>398</v>
      </c>
      <c r="B79" s="1" t="str">
        <f t="shared" si="12"/>
        <v>V</v>
      </c>
      <c r="C79" t="s">
        <v>259</v>
      </c>
      <c r="D79" s="1">
        <v>2019</v>
      </c>
      <c r="E79" s="1" t="s">
        <v>8</v>
      </c>
      <c r="F79" t="s">
        <v>104</v>
      </c>
    </row>
    <row r="80" spans="1:11">
      <c r="A80" t="s">
        <v>399</v>
      </c>
      <c r="B80" s="1" t="str">
        <f t="shared" si="12"/>
        <v>H</v>
      </c>
      <c r="C80" t="s">
        <v>400</v>
      </c>
      <c r="D80" s="1">
        <v>2019</v>
      </c>
      <c r="E80" s="1" t="s">
        <v>8</v>
      </c>
      <c r="F80" t="s">
        <v>280</v>
      </c>
      <c r="K80" t="s">
        <v>1297</v>
      </c>
    </row>
    <row r="81" spans="1:11">
      <c r="A81" t="s">
        <v>401</v>
      </c>
      <c r="B81" s="1" t="str">
        <f t="shared" si="12"/>
        <v>M</v>
      </c>
      <c r="C81" t="s">
        <v>402</v>
      </c>
      <c r="D81" s="1">
        <v>2018</v>
      </c>
      <c r="E81" s="1" t="s">
        <v>8</v>
      </c>
      <c r="F81" t="s">
        <v>403</v>
      </c>
    </row>
    <row r="82" spans="1:11">
      <c r="A82" t="s">
        <v>404</v>
      </c>
      <c r="B82" s="1" t="str">
        <f t="shared" si="12"/>
        <v>R</v>
      </c>
      <c r="C82" t="s">
        <v>344</v>
      </c>
      <c r="D82" s="1">
        <v>2018</v>
      </c>
      <c r="E82" s="1" t="s">
        <v>8</v>
      </c>
      <c r="F82" t="s">
        <v>112</v>
      </c>
    </row>
    <row r="83" spans="1:11">
      <c r="A83" t="s">
        <v>405</v>
      </c>
      <c r="B83" s="1" t="str">
        <f t="shared" si="12"/>
        <v>T</v>
      </c>
      <c r="C83" t="s">
        <v>295</v>
      </c>
      <c r="D83" s="1">
        <v>2018</v>
      </c>
      <c r="E83" s="1" t="s">
        <v>8</v>
      </c>
      <c r="F83" t="s">
        <v>115</v>
      </c>
    </row>
    <row r="84" spans="1:11">
      <c r="A84" t="s">
        <v>406</v>
      </c>
      <c r="B84" s="1" t="str">
        <f t="shared" si="12"/>
        <v>V</v>
      </c>
      <c r="C84" t="s">
        <v>407</v>
      </c>
      <c r="D84" s="1">
        <v>2018</v>
      </c>
      <c r="E84" s="1" t="s">
        <v>8</v>
      </c>
      <c r="F84" t="s">
        <v>115</v>
      </c>
    </row>
    <row r="85" spans="1:11">
      <c r="A85" t="s">
        <v>408</v>
      </c>
      <c r="B85" s="1" t="str">
        <f t="shared" si="12"/>
        <v>B</v>
      </c>
      <c r="C85" t="s">
        <v>409</v>
      </c>
      <c r="D85" s="1">
        <v>2018</v>
      </c>
      <c r="E85" s="1" t="s">
        <v>8</v>
      </c>
      <c r="F85" t="s">
        <v>229</v>
      </c>
      <c r="K85" t="s">
        <v>1297</v>
      </c>
    </row>
    <row r="86" spans="1:11">
      <c r="A86" t="s">
        <v>410</v>
      </c>
      <c r="B86" s="1" t="str">
        <f t="shared" si="12"/>
        <v>B</v>
      </c>
      <c r="C86" t="s">
        <v>266</v>
      </c>
      <c r="D86" s="1">
        <v>2018</v>
      </c>
      <c r="E86" s="1" t="s">
        <v>8</v>
      </c>
      <c r="F86" t="s">
        <v>99</v>
      </c>
    </row>
    <row r="87" spans="1:11">
      <c r="A87" t="s">
        <v>411</v>
      </c>
      <c r="B87" s="1" t="str">
        <f t="shared" si="12"/>
        <v>D</v>
      </c>
      <c r="C87" t="s">
        <v>412</v>
      </c>
      <c r="D87" s="1">
        <v>2018</v>
      </c>
      <c r="E87" s="1" t="s">
        <v>8</v>
      </c>
      <c r="F87" t="s">
        <v>91</v>
      </c>
      <c r="K87" t="s">
        <v>1297</v>
      </c>
    </row>
    <row r="88" spans="1:11">
      <c r="A88" t="s">
        <v>413</v>
      </c>
      <c r="B88" s="1" t="str">
        <f t="shared" si="12"/>
        <v>G</v>
      </c>
      <c r="C88" t="s">
        <v>259</v>
      </c>
      <c r="D88" s="1">
        <v>2018</v>
      </c>
      <c r="E88" s="1" t="s">
        <v>8</v>
      </c>
      <c r="F88" t="s">
        <v>104</v>
      </c>
      <c r="K88" t="s">
        <v>1297</v>
      </c>
    </row>
    <row r="89" spans="1:11">
      <c r="A89" t="s">
        <v>414</v>
      </c>
      <c r="B89" s="1" t="str">
        <f t="shared" si="12"/>
        <v>P</v>
      </c>
      <c r="C89" t="s">
        <v>415</v>
      </c>
      <c r="D89" s="1">
        <v>2018</v>
      </c>
      <c r="E89" s="1" t="s">
        <v>8</v>
      </c>
      <c r="F89" t="s">
        <v>141</v>
      </c>
    </row>
    <row r="90" spans="1:11">
      <c r="A90" t="s">
        <v>416</v>
      </c>
      <c r="B90" s="1" t="str">
        <f t="shared" si="12"/>
        <v>B</v>
      </c>
      <c r="C90" t="s">
        <v>417</v>
      </c>
      <c r="D90" s="1">
        <v>2017</v>
      </c>
      <c r="E90" s="1" t="s">
        <v>8</v>
      </c>
      <c r="F90" t="s">
        <v>229</v>
      </c>
    </row>
    <row r="91" spans="1:11">
      <c r="A91" t="s">
        <v>418</v>
      </c>
      <c r="B91" s="1" t="str">
        <f t="shared" si="12"/>
        <v>D</v>
      </c>
      <c r="C91" t="s">
        <v>419</v>
      </c>
      <c r="D91" s="1">
        <v>2017</v>
      </c>
      <c r="E91" s="1" t="s">
        <v>8</v>
      </c>
      <c r="F91" t="s">
        <v>126</v>
      </c>
      <c r="K91" t="s">
        <v>1297</v>
      </c>
    </row>
    <row r="92" spans="1:11">
      <c r="A92" t="s">
        <v>420</v>
      </c>
      <c r="B92" s="1" t="str">
        <f t="shared" si="12"/>
        <v>F</v>
      </c>
      <c r="C92" t="s">
        <v>397</v>
      </c>
      <c r="D92" s="1">
        <v>2017</v>
      </c>
      <c r="E92" s="1" t="s">
        <v>8</v>
      </c>
      <c r="F92" s="1" t="s">
        <v>136</v>
      </c>
    </row>
    <row r="93" spans="1:11">
      <c r="A93" t="s">
        <v>421</v>
      </c>
      <c r="B93" s="1" t="str">
        <f t="shared" si="12"/>
        <v>F</v>
      </c>
      <c r="C93" t="s">
        <v>422</v>
      </c>
      <c r="D93" s="1">
        <v>2017</v>
      </c>
      <c r="E93" s="1" t="s">
        <v>8</v>
      </c>
      <c r="F93" t="s">
        <v>115</v>
      </c>
    </row>
    <row r="94" spans="1:11">
      <c r="A94" t="s">
        <v>423</v>
      </c>
      <c r="B94" s="1" t="str">
        <f t="shared" si="12"/>
        <v>H</v>
      </c>
      <c r="C94" t="s">
        <v>424</v>
      </c>
      <c r="D94" s="1">
        <v>2017</v>
      </c>
      <c r="E94" s="1" t="s">
        <v>8</v>
      </c>
      <c r="F94" t="s">
        <v>425</v>
      </c>
    </row>
    <row r="95" spans="1:11">
      <c r="A95" t="s">
        <v>426</v>
      </c>
      <c r="B95" s="1" t="str">
        <f t="shared" si="12"/>
        <v>L</v>
      </c>
      <c r="C95" t="s">
        <v>427</v>
      </c>
      <c r="D95" s="1">
        <v>2017</v>
      </c>
      <c r="E95" s="1" t="s">
        <v>8</v>
      </c>
      <c r="F95" t="s">
        <v>37</v>
      </c>
    </row>
    <row r="96" spans="1:11">
      <c r="A96" t="s">
        <v>428</v>
      </c>
      <c r="B96" s="1" t="str">
        <f t="shared" si="12"/>
        <v>V</v>
      </c>
      <c r="C96" t="s">
        <v>202</v>
      </c>
      <c r="D96" s="1">
        <v>2017</v>
      </c>
      <c r="E96" s="1" t="s">
        <v>8</v>
      </c>
      <c r="F96" t="s">
        <v>122</v>
      </c>
    </row>
    <row r="97" spans="1:11">
      <c r="A97" t="s">
        <v>429</v>
      </c>
      <c r="B97" s="1" t="str">
        <f t="shared" si="12"/>
        <v>G</v>
      </c>
      <c r="C97" t="s">
        <v>430</v>
      </c>
      <c r="D97" s="1">
        <v>2017</v>
      </c>
      <c r="E97" s="1" t="s">
        <v>8</v>
      </c>
      <c r="F97" t="s">
        <v>403</v>
      </c>
      <c r="K97" t="s">
        <v>1297</v>
      </c>
    </row>
    <row r="98" spans="1:11">
      <c r="A98" t="s">
        <v>431</v>
      </c>
      <c r="B98" s="1" t="str">
        <f t="shared" si="12"/>
        <v>B</v>
      </c>
      <c r="C98" t="s">
        <v>128</v>
      </c>
      <c r="D98" s="1">
        <v>2016</v>
      </c>
      <c r="E98" s="1" t="s">
        <v>8</v>
      </c>
      <c r="F98" t="s">
        <v>126</v>
      </c>
    </row>
    <row r="99" spans="1:11">
      <c r="A99" t="s">
        <v>432</v>
      </c>
      <c r="B99" s="1" t="str">
        <f t="shared" si="12"/>
        <v>C</v>
      </c>
      <c r="C99" t="s">
        <v>266</v>
      </c>
      <c r="D99" s="1">
        <v>2016</v>
      </c>
      <c r="E99" s="1" t="s">
        <v>8</v>
      </c>
      <c r="F99" t="s">
        <v>185</v>
      </c>
    </row>
    <row r="100" spans="1:11">
      <c r="A100" t="s">
        <v>433</v>
      </c>
      <c r="B100" s="1" t="str">
        <f t="shared" si="12"/>
        <v>F</v>
      </c>
      <c r="C100" t="s">
        <v>206</v>
      </c>
      <c r="D100" s="1">
        <v>2016</v>
      </c>
      <c r="E100" s="1" t="s">
        <v>8</v>
      </c>
      <c r="F100" t="s">
        <v>229</v>
      </c>
    </row>
    <row r="101" spans="1:11">
      <c r="A101" t="s">
        <v>434</v>
      </c>
      <c r="B101" s="1" t="str">
        <f t="shared" si="12"/>
        <v>P</v>
      </c>
      <c r="C101" t="s">
        <v>435</v>
      </c>
      <c r="D101" s="1">
        <v>2016</v>
      </c>
      <c r="E101" s="1" t="s">
        <v>8</v>
      </c>
      <c r="F101" t="s">
        <v>280</v>
      </c>
    </row>
    <row r="102" spans="1:11">
      <c r="A102" t="s">
        <v>436</v>
      </c>
      <c r="B102" s="1" t="str">
        <f t="shared" si="12"/>
        <v>R</v>
      </c>
      <c r="C102" t="s">
        <v>151</v>
      </c>
      <c r="D102" s="1">
        <v>2016</v>
      </c>
      <c r="E102" s="1" t="s">
        <v>8</v>
      </c>
      <c r="F102" t="s">
        <v>122</v>
      </c>
    </row>
    <row r="103" spans="1:11">
      <c r="A103" t="s">
        <v>437</v>
      </c>
      <c r="B103" s="1" t="str">
        <f t="shared" si="12"/>
        <v>P</v>
      </c>
      <c r="C103" t="s">
        <v>438</v>
      </c>
      <c r="D103" s="1">
        <v>2016</v>
      </c>
      <c r="E103" s="1" t="s">
        <v>8</v>
      </c>
      <c r="F103" t="s">
        <v>94</v>
      </c>
    </row>
    <row r="104" spans="1:11">
      <c r="A104" t="s">
        <v>439</v>
      </c>
      <c r="B104" s="1" t="str">
        <f t="shared" si="12"/>
        <v>M</v>
      </c>
      <c r="C104" t="s">
        <v>440</v>
      </c>
      <c r="D104" s="1">
        <v>2016</v>
      </c>
      <c r="E104" s="1" t="s">
        <v>8</v>
      </c>
      <c r="F104" t="s">
        <v>441</v>
      </c>
    </row>
    <row r="105" spans="1:11">
      <c r="A105" t="s">
        <v>442</v>
      </c>
      <c r="B105" s="1" t="str">
        <f t="shared" si="12"/>
        <v>M</v>
      </c>
      <c r="C105" t="s">
        <v>443</v>
      </c>
      <c r="D105" s="1">
        <v>2016</v>
      </c>
      <c r="E105" s="1" t="s">
        <v>8</v>
      </c>
      <c r="F105" t="s">
        <v>444</v>
      </c>
    </row>
    <row r="106" spans="1:11">
      <c r="A106" t="s">
        <v>445</v>
      </c>
      <c r="B106" s="1" t="str">
        <f t="shared" si="12"/>
        <v>O</v>
      </c>
      <c r="C106" t="s">
        <v>427</v>
      </c>
      <c r="D106" s="1">
        <v>2016</v>
      </c>
      <c r="E106" s="1" t="s">
        <v>8</v>
      </c>
      <c r="F106" t="s">
        <v>446</v>
      </c>
    </row>
    <row r="107" spans="1:11">
      <c r="A107" t="s">
        <v>447</v>
      </c>
      <c r="B107" s="1" t="str">
        <f t="shared" ref="B107" si="13">LEFT(A107)</f>
        <v>W</v>
      </c>
      <c r="C107" t="s">
        <v>231</v>
      </c>
      <c r="D107" s="1">
        <v>2016</v>
      </c>
      <c r="E107" s="1" t="s">
        <v>8</v>
      </c>
      <c r="F107" t="s">
        <v>448</v>
      </c>
    </row>
    <row r="108" spans="1:11">
      <c r="A108" s="9" t="s">
        <v>449</v>
      </c>
      <c r="B108" s="11" t="s">
        <v>124</v>
      </c>
      <c r="C108" s="9" t="s">
        <v>450</v>
      </c>
      <c r="D108" s="1">
        <v>2016</v>
      </c>
      <c r="E108" s="1" t="s">
        <v>8</v>
      </c>
      <c r="F108" t="s">
        <v>451</v>
      </c>
      <c r="K108" t="s">
        <v>1297</v>
      </c>
    </row>
    <row r="109" spans="1:11">
      <c r="A109" s="9" t="s">
        <v>452</v>
      </c>
      <c r="B109" s="1" t="str">
        <f t="shared" ref="B109:B128" si="14">LEFT(A109)</f>
        <v>D</v>
      </c>
      <c r="C109" s="9" t="s">
        <v>176</v>
      </c>
      <c r="D109" s="1">
        <v>2016</v>
      </c>
      <c r="E109" s="1" t="s">
        <v>8</v>
      </c>
      <c r="F109" t="s">
        <v>229</v>
      </c>
      <c r="K109" t="s">
        <v>1297</v>
      </c>
    </row>
    <row r="110" spans="1:11">
      <c r="A110" s="9" t="s">
        <v>453</v>
      </c>
      <c r="B110" s="1" t="str">
        <f t="shared" si="14"/>
        <v>F</v>
      </c>
      <c r="C110" s="9" t="s">
        <v>454</v>
      </c>
      <c r="D110" s="1">
        <v>2016</v>
      </c>
      <c r="E110" s="1" t="s">
        <v>8</v>
      </c>
      <c r="F110" t="s">
        <v>455</v>
      </c>
    </row>
    <row r="111" spans="1:11">
      <c r="A111" s="9" t="s">
        <v>456</v>
      </c>
      <c r="B111" s="1" t="str">
        <f t="shared" si="14"/>
        <v>G</v>
      </c>
      <c r="C111" s="9" t="s">
        <v>457</v>
      </c>
      <c r="D111" s="1">
        <v>2016</v>
      </c>
      <c r="E111" s="1" t="s">
        <v>8</v>
      </c>
      <c r="F111" t="s">
        <v>425</v>
      </c>
      <c r="K111" t="s">
        <v>1297</v>
      </c>
    </row>
    <row r="112" spans="1:11">
      <c r="A112" s="9" t="s">
        <v>458</v>
      </c>
      <c r="B112" s="1" t="str">
        <f t="shared" si="14"/>
        <v>M</v>
      </c>
      <c r="C112" s="9" t="s">
        <v>459</v>
      </c>
      <c r="D112" s="1">
        <v>2016</v>
      </c>
      <c r="E112" s="1" t="s">
        <v>8</v>
      </c>
      <c r="F112" t="s">
        <v>91</v>
      </c>
      <c r="K112" t="s">
        <v>1297</v>
      </c>
    </row>
    <row r="113" spans="1:11">
      <c r="A113" s="9" t="s">
        <v>460</v>
      </c>
      <c r="B113" s="1" t="str">
        <f t="shared" si="14"/>
        <v>M</v>
      </c>
      <c r="C113" s="9" t="s">
        <v>188</v>
      </c>
      <c r="D113" s="1">
        <v>2016</v>
      </c>
      <c r="E113" s="1" t="s">
        <v>8</v>
      </c>
      <c r="F113" t="s">
        <v>264</v>
      </c>
      <c r="K113" t="s">
        <v>1297</v>
      </c>
    </row>
    <row r="114" spans="1:11">
      <c r="A114" s="9" t="s">
        <v>461</v>
      </c>
      <c r="B114" s="1" t="str">
        <f t="shared" si="14"/>
        <v>P</v>
      </c>
      <c r="C114" s="9" t="s">
        <v>462</v>
      </c>
      <c r="D114" s="1">
        <v>2016</v>
      </c>
      <c r="E114" s="1" t="s">
        <v>8</v>
      </c>
      <c r="F114" t="s">
        <v>104</v>
      </c>
      <c r="K114" t="s">
        <v>1297</v>
      </c>
    </row>
    <row r="115" spans="1:11">
      <c r="A115" s="9" t="s">
        <v>463</v>
      </c>
      <c r="B115" s="1" t="str">
        <f t="shared" si="14"/>
        <v>B</v>
      </c>
      <c r="C115" s="9" t="s">
        <v>464</v>
      </c>
      <c r="D115" s="1">
        <v>2015</v>
      </c>
      <c r="E115" s="1" t="s">
        <v>8</v>
      </c>
      <c r="F115" t="s">
        <v>136</v>
      </c>
    </row>
    <row r="116" spans="1:11">
      <c r="A116" s="9" t="s">
        <v>465</v>
      </c>
      <c r="B116" s="1" t="str">
        <f t="shared" si="14"/>
        <v>C</v>
      </c>
      <c r="C116" s="9" t="s">
        <v>466</v>
      </c>
      <c r="D116" s="1">
        <v>2015</v>
      </c>
      <c r="E116" s="1" t="s">
        <v>8</v>
      </c>
      <c r="F116" t="s">
        <v>141</v>
      </c>
      <c r="H116" t="s">
        <v>957</v>
      </c>
    </row>
    <row r="117" spans="1:11">
      <c r="A117" s="9" t="s">
        <v>467</v>
      </c>
      <c r="B117" s="1" t="str">
        <f t="shared" si="14"/>
        <v>M</v>
      </c>
      <c r="C117" s="9" t="s">
        <v>468</v>
      </c>
      <c r="D117" s="1">
        <v>2015</v>
      </c>
      <c r="E117" s="1" t="s">
        <v>8</v>
      </c>
      <c r="F117" t="s">
        <v>141</v>
      </c>
      <c r="H117" t="s">
        <v>957</v>
      </c>
    </row>
    <row r="118" spans="1:11">
      <c r="A118" s="9" t="s">
        <v>469</v>
      </c>
      <c r="B118" s="1" t="str">
        <f t="shared" si="14"/>
        <v>S</v>
      </c>
      <c r="C118" s="9" t="s">
        <v>470</v>
      </c>
      <c r="D118" s="1">
        <v>2015</v>
      </c>
      <c r="E118" s="11" t="s">
        <v>8</v>
      </c>
      <c r="F118" t="s">
        <v>99</v>
      </c>
    </row>
    <row r="119" spans="1:11">
      <c r="A119" s="112" t="s">
        <v>1307</v>
      </c>
      <c r="B119" s="1" t="str">
        <f t="shared" ref="B119" si="15">LEFT(A119)</f>
        <v>V</v>
      </c>
      <c r="C119" s="112" t="s">
        <v>138</v>
      </c>
      <c r="D119" s="1">
        <v>2015</v>
      </c>
      <c r="E119" s="11" t="s">
        <v>8</v>
      </c>
      <c r="F119" t="s">
        <v>1009</v>
      </c>
      <c r="K119" t="s">
        <v>1297</v>
      </c>
    </row>
    <row r="120" spans="1:11">
      <c r="A120" s="9" t="s">
        <v>471</v>
      </c>
      <c r="B120" s="1" t="str">
        <f t="shared" si="14"/>
        <v>V</v>
      </c>
      <c r="C120" s="9" t="s">
        <v>397</v>
      </c>
      <c r="D120" s="1">
        <v>2015</v>
      </c>
      <c r="E120" s="11" t="s">
        <v>8</v>
      </c>
      <c r="F120" t="s">
        <v>99</v>
      </c>
    </row>
    <row r="121" spans="1:11">
      <c r="A121" s="9" t="s">
        <v>472</v>
      </c>
      <c r="B121" s="1" t="str">
        <f t="shared" si="14"/>
        <v>P</v>
      </c>
      <c r="C121" s="9" t="s">
        <v>307</v>
      </c>
      <c r="D121" s="1">
        <v>2015</v>
      </c>
      <c r="E121" s="11" t="s">
        <v>8</v>
      </c>
      <c r="F121" t="s">
        <v>473</v>
      </c>
      <c r="K121" t="s">
        <v>1297</v>
      </c>
    </row>
    <row r="122" spans="1:11">
      <c r="A122" s="9" t="s">
        <v>474</v>
      </c>
      <c r="B122" s="1" t="str">
        <f t="shared" si="14"/>
        <v>P</v>
      </c>
      <c r="C122" s="9" t="s">
        <v>475</v>
      </c>
      <c r="D122" s="1">
        <v>2015</v>
      </c>
      <c r="E122" s="11" t="s">
        <v>8</v>
      </c>
      <c r="F122" t="s">
        <v>91</v>
      </c>
      <c r="K122" t="s">
        <v>1297</v>
      </c>
    </row>
    <row r="123" spans="1:11">
      <c r="A123" s="9" t="s">
        <v>476</v>
      </c>
      <c r="B123" s="1" t="str">
        <f t="shared" si="14"/>
        <v>Z</v>
      </c>
      <c r="C123" s="9" t="s">
        <v>477</v>
      </c>
      <c r="D123" s="1">
        <v>2015</v>
      </c>
      <c r="E123" s="11" t="s">
        <v>8</v>
      </c>
      <c r="F123" t="s">
        <v>126</v>
      </c>
      <c r="K123" t="s">
        <v>1297</v>
      </c>
    </row>
    <row r="124" spans="1:11">
      <c r="A124" s="9" t="s">
        <v>478</v>
      </c>
      <c r="B124" s="1" t="str">
        <f t="shared" si="14"/>
        <v>B</v>
      </c>
      <c r="C124" s="11" t="s">
        <v>344</v>
      </c>
      <c r="D124" s="1">
        <v>2014</v>
      </c>
      <c r="E124" s="11" t="s">
        <v>8</v>
      </c>
      <c r="F124" t="s">
        <v>455</v>
      </c>
    </row>
    <row r="125" spans="1:11">
      <c r="A125" s="9" t="s">
        <v>479</v>
      </c>
      <c r="B125" s="1" t="str">
        <f t="shared" si="14"/>
        <v>B</v>
      </c>
      <c r="C125" s="9" t="s">
        <v>231</v>
      </c>
      <c r="D125" s="1">
        <v>2014</v>
      </c>
      <c r="E125" s="11" t="s">
        <v>8</v>
      </c>
      <c r="F125" t="s">
        <v>104</v>
      </c>
    </row>
    <row r="126" spans="1:11">
      <c r="A126" t="s">
        <v>480</v>
      </c>
      <c r="B126" s="1" t="str">
        <f t="shared" si="14"/>
        <v>D</v>
      </c>
      <c r="C126" s="9" t="s">
        <v>125</v>
      </c>
      <c r="D126" s="1">
        <v>2014</v>
      </c>
      <c r="E126" s="11" t="s">
        <v>8</v>
      </c>
      <c r="F126" t="s">
        <v>280</v>
      </c>
    </row>
    <row r="127" spans="1:11">
      <c r="A127" s="9" t="s">
        <v>481</v>
      </c>
      <c r="B127" s="1" t="str">
        <f t="shared" si="14"/>
        <v>M</v>
      </c>
      <c r="C127" s="9" t="s">
        <v>301</v>
      </c>
      <c r="D127" s="1">
        <v>2014</v>
      </c>
      <c r="E127" s="11" t="s">
        <v>8</v>
      </c>
      <c r="F127" t="s">
        <v>280</v>
      </c>
    </row>
    <row r="128" spans="1:11">
      <c r="B128" s="1" t="str">
        <f t="shared" si="14"/>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6D1C62-C1E8-4BE3-9C02-C464CE3171CD}">
          <x14:formula1>
            <xm:f>Ecoles!$A$2:$A$72</xm:f>
          </x14:formula1>
          <xm:sqref>N15</xm:sqref>
        </x14:dataValidation>
        <x14:dataValidation type="list" allowBlank="1" showInputMessage="1" showErrorMessage="1" xr:uid="{99EA31DC-1A51-4320-9883-8411E4A7479E}">
          <x14:formula1>
            <xm:f>Ecoles!$A$2:$A$857</xm:f>
          </x14:formula1>
          <xm:sqref>F2:F1197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81"/>
  <sheetViews>
    <sheetView topLeftCell="A808" zoomScale="75" zoomScaleNormal="70" workbookViewId="0">
      <selection activeCell="K75" sqref="K75"/>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482</v>
      </c>
      <c r="C1" s="3" t="s">
        <v>483</v>
      </c>
      <c r="D1" s="3" t="s">
        <v>484</v>
      </c>
      <c r="E1" s="3" t="s">
        <v>485</v>
      </c>
      <c r="F1" s="3" t="s">
        <v>486</v>
      </c>
      <c r="G1" s="3" t="s">
        <v>487</v>
      </c>
      <c r="H1" s="3" t="s">
        <v>488</v>
      </c>
      <c r="I1" s="3" t="s">
        <v>489</v>
      </c>
      <c r="J1" s="3" t="s">
        <v>490</v>
      </c>
      <c r="K1" s="3" t="s">
        <v>491</v>
      </c>
      <c r="L1" s="3" t="s">
        <v>925</v>
      </c>
    </row>
    <row r="2" spans="1:12" ht="99" customHeight="99">
      <c r="A2" s="3" t="s">
        <v>126</v>
      </c>
      <c r="B2" s="3" t="s">
        <v>492</v>
      </c>
      <c r="C2" s="3" t="s">
        <v>492</v>
      </c>
      <c r="D2" s="3" t="s">
        <v>493</v>
      </c>
      <c r="E2" s="3" t="s">
        <v>493</v>
      </c>
      <c r="F2" s="3" t="s">
        <v>494</v>
      </c>
      <c r="G2" s="3" t="inlineStr">
        <is>
          <t xml:space="preserve">AgroParisTech est une grande école d’ingénieurs agronomes, membre de l’Université Paris-Saclay. Le cursus ingénieur dure 3 ans (statut étudiant, apprentissage possible, élèves fonctionnaires) et associe sciences du vivant, sciences de l’ingénieur et sciences humaines, économiques et sociales, avec des dominantes d’approfondissement.</t>
        </is>
      </c>
      <c r="H2" s="3" t="s">
        <v>495</v>
      </c>
      <c r="I2" s="3" t="s">
        <v>496</v>
      </c>
      <c r="J2" s="3" t="s">
        <v>497</v>
      </c>
      <c r="K2" s="3" t="s">
        <v>498</v>
      </c>
      <c r="L2" s="3" t="inlineStr">
        <is>
          <t xml:space="preserve">Agronomie ; Sciences du vivant ; Sciences de l’ingénieur ; Sciences humaines, économiques et sociales ; Alimentation ; Environnement ; Dominantes d’approfondissement ; Apprentissage ; Élèves fonctionnaires ; Paris-Saclay</t>
        </is>
      </c>
    </row>
    <row r="3" spans="1:12" ht="39.950000000000003" customHeight="1">
      <c r="A3" s="3" t="s">
        <v>115</v>
      </c>
      <c r="B3" s="3" t="s">
        <v>492</v>
      </c>
      <c r="C3" s="3" t="s">
        <v>492</v>
      </c>
      <c r="D3" s="3" t="s">
        <v>493</v>
      </c>
      <c r="E3" s="3" t="s">
        <v>493</v>
      </c>
      <c r="F3" s="3" t="s">
        <v>494</v>
      </c>
      <c r="G3" s="3" t="s">
        <v>917</v>
      </c>
      <c r="H3" s="3" t="s">
        <v>499</v>
      </c>
      <c r="I3" s="3" t="s">
        <v>500</v>
      </c>
      <c r="J3" s="3" t="s">
        <v>501</v>
      </c>
      <c r="K3" s="3" t="s">
        <v>502</v>
      </c>
      <c r="L3" s="75" t="s">
        <v>916</v>
      </c>
    </row>
    <row r="4" spans="1:12" ht="99" customHeight="99">
      <c r="A4" s="3" t="s">
        <v>37</v>
      </c>
      <c r="B4" s="3" t="s">
        <v>492</v>
      </c>
      <c r="C4" s="3" t="s">
        <v>492</v>
      </c>
      <c r="D4" s="3" t="s">
        <v>493</v>
      </c>
      <c r="E4" s="3" t="s">
        <v>493</v>
      </c>
      <c r="F4" s="3" t="s">
        <v>494</v>
      </c>
      <c r="G4" s="3" t="inlineStr">
        <is>
          <t xml:space="preserve">Bordeaux Sciences Agro est une école publique d’ingénieurs agronomes, située à Gradignan près de Bordeaux. Le cursus ingénieur dure 3 ans (apprentissage possible) et s’appuie sur le vignoble voisin pour proposer des formations reconnues autour de la vigne et du vin, en plus de l’agronomie, de l’agroalimentaire et de l’agroécologie.</t>
        </is>
      </c>
      <c r="H4" s="3" t="s">
        <v>503</v>
      </c>
      <c r="I4" s="3" t="s">
        <v>504</v>
      </c>
      <c r="J4" s="3" t="s">
        <v>505</v>
      </c>
      <c r="K4" s="3" t="s">
        <v>506</v>
      </c>
      <c r="L4" s="3" t="inlineStr">
        <is>
          <t xml:space="preserve">Agronomie ; Vigne et vin ; Agroalimentaire ; Agroécologie ; Agreenium ; Apprentissage ; Gradignan</t>
        </is>
      </c>
    </row>
    <row r="5" spans="1:12" ht="39.950000000000003" customHeight="1">
      <c r="A5" s="3" t="s">
        <v>122</v>
      </c>
      <c r="B5" s="3" t="s">
        <v>492</v>
      </c>
      <c r="C5" s="3" t="s">
        <v>492</v>
      </c>
      <c r="D5" s="3" t="s">
        <v>493</v>
      </c>
      <c r="E5" s="3" t="s">
        <v>493</v>
      </c>
      <c r="F5" s="3" t="s">
        <v>494</v>
      </c>
      <c r="G5" s="3" t="s">
        <v>920</v>
      </c>
      <c r="H5" s="3" t="s">
        <v>507</v>
      </c>
      <c r="I5" s="3" t="s">
        <v>911</v>
      </c>
      <c r="J5" s="3" t="s">
        <v>508</v>
      </c>
      <c r="K5" s="3" t="s">
        <v>509</v>
      </c>
      <c r="L5" s="3" t="s">
        <v>1238</v>
      </c>
    </row>
    <row r="6" spans="1:12" ht="39.950000000000003" customHeight="1">
      <c r="A6" s="3" t="s">
        <v>104</v>
      </c>
      <c r="B6" s="3" t="s">
        <v>492</v>
      </c>
      <c r="C6" s="3" t="s">
        <v>492</v>
      </c>
      <c r="D6" s="3" t="s">
        <v>493</v>
      </c>
      <c r="E6" s="3" t="s">
        <v>493</v>
      </c>
      <c r="F6" s="3" t="s">
        <v>494</v>
      </c>
      <c r="G6" s="3" t="s">
        <v>922</v>
      </c>
      <c r="H6" s="3" t="s">
        <v>510</v>
      </c>
      <c r="I6" s="3" t="s">
        <v>511</v>
      </c>
      <c r="J6" s="3" t="s">
        <v>512</v>
      </c>
      <c r="K6" s="3" t="s">
        <v>513</v>
      </c>
      <c r="L6" s="3" t="s">
        <v>921</v>
      </c>
    </row>
    <row r="7" spans="1:12" ht="114" customHeight="114">
      <c r="A7" s="3" t="s">
        <v>280</v>
      </c>
      <c r="B7" s="3" t="s">
        <v>492</v>
      </c>
      <c r="C7" s="3" t="s">
        <v>492</v>
      </c>
      <c r="D7" s="3" t="s">
        <v>493</v>
      </c>
      <c r="E7" s="3" t="s">
        <v>493</v>
      </c>
      <c r="F7" s="3" t="s">
        <v>494</v>
      </c>
      <c r="G7" s="3" t="inlineStr">
        <is>
          <t xml:space="preserve">Le campus de Rennes de l’Institut Agro Rennes-Angers (ex-Agrocampus Ouest) propose les cursus d’ingénieur agronome et d’ingénieur agroalimentaire, avec des spécialisations comme l’agroécologie, l’agroéconomie et les politiques publiques ou le management des entreprises de l’alimentation. L’halieutique (sciences de la mer et du littoral) fait aussi partie de l’offre de formation.</t>
        </is>
      </c>
      <c r="H7" s="3" t="s">
        <v>514</v>
      </c>
      <c r="I7" s="3" t="s">
        <v>515</v>
      </c>
      <c r="J7" s="3" t="s">
        <v>516</v>
      </c>
      <c r="K7" s="3" t="s">
        <v>517</v>
      </c>
      <c r="L7" s="3" t="inlineStr">
        <is>
          <t xml:space="preserve">Agronomie ; Agroalimentaire ; Halieutique ; Mer et littoral ; Agroécologie ; Agroéconomie ; Politiques publiques ; Management des entreprises ; Spécialisations</t>
        </is>
      </c>
    </row>
    <row r="8" spans="1:12" ht="39.950000000000003" customHeight="1">
      <c r="A8" s="3" t="s">
        <v>112</v>
      </c>
      <c r="B8" s="3" t="s">
        <v>492</v>
      </c>
      <c r="C8" s="3" t="s">
        <v>492</v>
      </c>
      <c r="D8" s="3" t="s">
        <v>493</v>
      </c>
      <c r="E8" s="3" t="s">
        <v>493</v>
      </c>
      <c r="F8" s="3" t="s">
        <v>494</v>
      </c>
      <c r="G8" s="3" t="s">
        <v>924</v>
      </c>
      <c r="H8" s="3" t="s">
        <v>518</v>
      </c>
      <c r="I8" s="3" t="s">
        <v>519</v>
      </c>
      <c r="J8" s="3" t="s">
        <v>520</v>
      </c>
      <c r="K8" s="3" t="s">
        <v>521</v>
      </c>
      <c r="L8" s="3" t="s">
        <v>923</v>
      </c>
    </row>
    <row r="9" spans="1:12" ht="39.950000000000003" customHeight="1">
      <c r="A9" s="3" t="s">
        <v>136</v>
      </c>
      <c r="B9" s="3" t="s">
        <v>522</v>
      </c>
      <c r="C9" s="3" t="s">
        <v>522</v>
      </c>
      <c r="D9" s="3" t="s">
        <v>493</v>
      </c>
      <c r="E9" s="3" t="s">
        <v>493</v>
      </c>
      <c r="F9" s="3" t="s">
        <v>494</v>
      </c>
      <c r="G9" s="3" t="s">
        <v>919</v>
      </c>
      <c r="H9" s="3" t="s">
        <v>523</v>
      </c>
      <c r="I9" s="3" t="s">
        <v>524</v>
      </c>
      <c r="J9" s="3" t="s">
        <v>525</v>
      </c>
      <c r="K9" s="3" t="s">
        <v>526</v>
      </c>
      <c r="L9" s="3" t="s">
        <v>918</v>
      </c>
    </row>
    <row r="10" spans="1:12" ht="114" customHeight="114">
      <c r="A10" s="3" t="s">
        <v>99</v>
      </c>
      <c r="B10" s="3" t="s">
        <v>492</v>
      </c>
      <c r="C10" s="3" t="s">
        <v>492</v>
      </c>
      <c r="D10" s="3" t="s">
        <v>493</v>
      </c>
      <c r="E10" s="3" t="s">
        <v>493</v>
      </c>
      <c r="F10" s="3" t="s">
        <v>494</v>
      </c>
      <c r="G10" s="3" t="inlineStr">
        <is>
          <t xml:space="preserve">L’Institut Agro Montpellier (ex-Montpellier SupAgro) forme des ingénieurs en agronomie, avec un cursus orienté vers l’agronomie et l’agroalimentaire durables, notamment pour les agricultures du Sud (méditerranéennes et tropicales). Il propose de nombreuses options en 3e année, un pôle fort sur la vigne et le vin, ainsi que des doubles diplômes avec des établissements partenaires.</t>
        </is>
      </c>
      <c r="H10" s="3" t="s">
        <v>527</v>
      </c>
      <c r="I10" s="3" t="s">
        <v>528</v>
      </c>
      <c r="J10" s="3" t="s">
        <v>529</v>
      </c>
      <c r="K10" s="3" t="s">
        <v>530</v>
      </c>
      <c r="L10" s="3" t="inlineStr">
        <is>
          <t xml:space="preserve">Agronomie ; Agroalimentaire ; Agricultures du Sud ; Méditerranée et tropiques ; Vigne et vin ; Systèmes agricoles durables ; Options de 3e année ; Double diplôme</t>
        </is>
      </c>
    </row>
    <row r="11" spans="1:12" ht="99" customHeight="99">
      <c r="A11" s="3" t="s">
        <v>342</v>
      </c>
      <c r="B11" s="3" t="s">
        <v>531</v>
      </c>
      <c r="C11" s="3" t="s">
        <v>531</v>
      </c>
      <c r="D11" s="3" t="s">
        <v>493</v>
      </c>
      <c r="E11" s="3" t="s">
        <v>493</v>
      </c>
      <c r="F11" s="3" t="s">
        <v>494</v>
      </c>
      <c r="G11" s="3" t="inlineStr">
        <is>
          <t xml:space="preserve">L’École nationale vétérinaire d’Alfort, à Maisons-Alfort près de Paris, est l’une des quatre écoles vétérinaires publiques françaises. Elle forme des docteurs vétérinaires en 6 ans et dispose d’un centre hospitalier universitaire vétérinaire, ainsi que d’un site dédié aux équidés en Normandie (Goustranville).</t>
        </is>
      </c>
      <c r="H11" s="3" t="s">
        <v>532</v>
      </c>
      <c r="I11" s="3" t="s">
        <v>533</v>
      </c>
      <c r="J11" s="3" t="s">
        <v>534</v>
      </c>
      <c r="K11" s="3" t="s">
        <v>535</v>
      </c>
      <c r="L11" s="3" t="inlineStr">
        <is>
          <t xml:space="preserve">Médecine vétérinaire ; Docteur vétérinaire ; Santé animale ; Centre hospitalier universitaire vétérinaire ; Équidés ; Animaux de compagnie ; Maisons-Alfort ; Campus équin Normandie</t>
        </is>
      </c>
    </row>
    <row r="12" spans="1:12" ht="114" customHeight="114">
      <c r="A12" s="3" t="s">
        <v>367</v>
      </c>
      <c r="B12" s="3" t="s">
        <v>531</v>
      </c>
      <c r="C12" s="3" t="s">
        <v>531</v>
      </c>
      <c r="D12" s="3" t="s">
        <v>493</v>
      </c>
      <c r="E12" s="3" t="s">
        <v>493</v>
      </c>
      <c r="F12" s="3" t="s">
        <v>494</v>
      </c>
      <c r="G12" s="3" t="inlineStr">
        <is>
          <t xml:space="preserve">L’École nationale vétérinaire de Toulouse, membre de l’Université de Toulouse, est l’une des quatre écoles vétérinaires publiques françaises. Elle forme des docteurs vétérinaires en 6 ans, avec un centre hospitalier universitaire vétérinaire (animaux de compagnie, équidés, animaux de production), des formations de spécialisation, un volet santé publique vétérinaire et un stage à l’étranger obligatoire.</t>
        </is>
      </c>
      <c r="H12" s="3" t="s">
        <v>536</v>
      </c>
      <c r="I12" s="3" t="s">
        <v>537</v>
      </c>
      <c r="J12" s="3" t="s">
        <v>538</v>
      </c>
      <c r="K12" s="3" t="s">
        <v>539</v>
      </c>
      <c r="L12" s="3" t="inlineStr">
        <is>
          <t xml:space="preserve">Médecine vétérinaire ; Docteur vétérinaire ; Centre hospitalier universitaire vétérinaire ; Animaux de compagnie ; Équidés ; Animaux de production ; Santé publique vétérinaire ; Spécialisation ; Stage à l’étranger</t>
        </is>
      </c>
    </row>
    <row r="13" spans="1:12" ht="114" customHeight="114">
      <c r="A13" s="3" t="s">
        <v>141</v>
      </c>
      <c r="B13" s="3" t="s">
        <v>531</v>
      </c>
      <c r="C13" s="3" t="s">
        <v>531</v>
      </c>
      <c r="D13" s="3" t="s">
        <v>493</v>
      </c>
      <c r="E13" s="3" t="s">
        <v>493</v>
      </c>
      <c r="F13" s="3" t="s">
        <v>494</v>
      </c>
      <c r="G13" s="3" t="inlineStr">
        <is>
          <t xml:space="preserve">Le campus vétérinaire de VetAgro Sup se situe à Marcy-l’Étoile, près de Lyon. Il forme des docteurs vétérinaires et s’appuie sur trois centres hospitaliers universitaires vétérinaires (animaux de compagnie, équidés, animaux de production). VetAgro Sup est la seule structure française à former à la fois des vétérinaires, des ingénieurs agronomes et des inspecteurs de santé publique vétérinaire.</t>
        </is>
      </c>
      <c r="H13" s="3" t="s">
        <v>540</v>
      </c>
      <c r="I13" s="3" t="s">
        <v>519</v>
      </c>
      <c r="J13" s="3" t="s">
        <v>541</v>
      </c>
      <c r="K13" s="3" t="s">
        <v>542</v>
      </c>
      <c r="L13" s="3" t="inlineStr">
        <is>
          <t xml:space="preserve">Médecine vétérinaire ; Docteur vétérinaire ; Animaux de compagnie ; Équidés ; Animaux de production ; Centre hospitalier universitaire vétérinaire ; Inspecteur de santé publique vétérinaire ; Marcy-l’Étoile</t>
        </is>
      </c>
    </row>
    <row r="14" spans="1:12" ht="99" customHeight="99">
      <c r="A14" s="3" t="s">
        <v>255</v>
      </c>
      <c r="B14" s="3" t="s">
        <v>531</v>
      </c>
      <c r="C14" s="3" t="s">
        <v>531</v>
      </c>
      <c r="D14" s="3" t="s">
        <v>493</v>
      </c>
      <c r="E14" s="3" t="s">
        <v>493</v>
      </c>
      <c r="F14" s="3" t="s">
        <v>494</v>
      </c>
      <c r="G14" s="3" t="inlineStr">
        <is>
          <t xml:space="preserve">Le site vétérinaire d’Oniris VetAgroBio, à Nantes, forme des docteurs vétérinaires au sein de l’une des quatre écoles vétérinaires publiques françaises, avec une approche « One Health » qui relie santé animale, santé humaine et environnement. L’école propose aussi un cursus d’ingénieur dans le domaine de l’alimentation (voir ONIRIS Nantes).</t>
        </is>
      </c>
      <c r="H14" s="3" t="s">
        <v>499</v>
      </c>
      <c r="I14" s="3" t="s">
        <v>500</v>
      </c>
      <c r="J14" s="3" t="s">
        <v>543</v>
      </c>
      <c r="K14" s="3" t="s">
        <v>544</v>
      </c>
      <c r="L14" s="3" t="inlineStr">
        <is>
          <t xml:space="preserve">Médecine vétérinaire ; Docteur vétérinaire ; One Health ; Santé animale ; Santé publique ; Alimentation ; Nantes</t>
        </is>
      </c>
    </row>
    <row r="15" spans="1:12" ht="114" customHeight="114">
      <c r="A15" s="3" t="s">
        <v>229</v>
      </c>
      <c r="B15" s="3" t="s">
        <v>545</v>
      </c>
      <c r="D15" s="3" t="s">
        <v>545</v>
      </c>
      <c r="E15" s="3" t="s">
        <v>493</v>
      </c>
      <c r="F15" s="3" t="s">
        <v>1</v>
      </c>
      <c r="G15" s="3" t="inlineStr">
        <is>
          <t xml:space="preserve">L’ENGEES (École nationale du génie de l’eau et de l’environnement de Strasbourg) forme en 3 ans des ingénieurs (statut étudiant, apprenti ou fonctionnaire) aux métiers de l’eau et de l’environnement : eau potable, assainissement, ingénierie des cours d’eau et renaturation, gestion des déchets. Les diplômés travaillent notamment en bureaux d’études, en collectivités et dans les entreprises de l’eau.</t>
        </is>
      </c>
      <c r="H15" s="3" t="s">
        <v>546</v>
      </c>
      <c r="I15" s="3" t="s">
        <v>547</v>
      </c>
      <c r="J15" s="3" t="s">
        <v>548</v>
      </c>
      <c r="K15" s="3" t="s">
        <v>549</v>
      </c>
      <c r="L15" s="3" t="inlineStr">
        <is>
          <t xml:space="preserve">Eau potable ; Assainissement ; Cours d’eau ; Renaturation ; Gestion des déchets ; Environnement ; Bureaux d’études ; Collectivités ; Apprentissage ; Élèves fonctionnaires ; Strasbourg</t>
        </is>
      </c>
    </row>
    <row r="16" spans="1:12" ht="130" customHeight="130">
      <c r="A16" s="3" t="s">
        <v>88</v>
      </c>
      <c r="B16" s="3" t="s">
        <v>545</v>
      </c>
      <c r="D16" s="3" t="s">
        <v>545</v>
      </c>
      <c r="F16" s="3" t="s">
        <v>1</v>
      </c>
      <c r="G16" s="3" t="inlineStr">
        <is>
          <t xml:space="preserve">Géodata Paris (ex ENSG-Géomatique) est une école d’ingénieurs spécialisée en géomatique et en sciences de l’information géographique, située à Champs-sur-Marne. Elle recrute les élèves de BCPST via le concours G2E, avec un statut civil ou fonctionnaire. Les enseignements portent sur les données géographiques, la cartographie, la télédétection et leurs applications (environnement, aménagement, agriculture…).</t>
        </is>
      </c>
      <c r="H16" s="3" t="s">
        <v>495</v>
      </c>
      <c r="I16" s="3" t="s">
        <v>550</v>
      </c>
      <c r="J16" s="3" t="s">
        <v>551</v>
      </c>
      <c r="K16" s="3" t="s">
        <v>552</v>
      </c>
      <c r="L16" s="3" t="inlineStr">
        <is>
          <t xml:space="preserve">Géomatique ; Information géographique ; Systèmes d’information géographique ; Télédétection ; Cartographie ; Données spatiales ; Environnement ; Aménagement du territoire ; Concours G2E ; Élèves fonctionnaires</t>
        </is>
      </c>
    </row>
    <row r="17" spans="1:12" ht="114" customHeight="114">
      <c r="A17" s="3" t="s">
        <v>167</v>
      </c>
      <c r="B17" s="3" t="s">
        <v>553</v>
      </c>
      <c r="C17" s="3" t="s">
        <v>553</v>
      </c>
      <c r="D17" s="3" t="s">
        <v>493</v>
      </c>
      <c r="E17" s="3" t="s">
        <v>553</v>
      </c>
      <c r="F17" s="3" t="s">
        <v>494</v>
      </c>
      <c r="G17" s="3" t="inlineStr">
        <is>
          <t xml:space="preserve">L’ESIR (École supérieure d’ingénieurs de Rennes, Université de Rennes) propose les spécialités informatique, matériaux, systèmes numériques et réseaux (en apprentissage) et technologies de l’information pour la santé. Les élèves de BCPST peuvent y accéder via le concours Polytech BCPST, notamment pour les technologies de l’information pour la santé et les matériaux.</t>
        </is>
      </c>
      <c r="H17" s="3" t="s">
        <v>514</v>
      </c>
      <c r="I17" s="3" t="s">
        <v>554</v>
      </c>
      <c r="J17" s="3" t="s">
        <v>555</v>
      </c>
      <c r="K17" s="3" t="s">
        <v>556</v>
      </c>
      <c r="L17" s="3" t="inlineStr">
        <is>
          <t xml:space="preserve">Informatique ; Matériaux ; Systèmes numériques et réseaux ; Technologies de l’information pour la santé ; Santé numérique ; Apprentissage ; Concours Polytech BCPST</t>
        </is>
      </c>
    </row>
    <row r="18" spans="1:12" ht="130" customHeight="130">
      <c r="A18" s="3" t="s">
        <v>91</v>
      </c>
      <c r="B18" s="3" t="s">
        <v>553</v>
      </c>
      <c r="C18" s="3" t="s">
        <v>553</v>
      </c>
      <c r="D18" s="3" t="s">
        <v>493</v>
      </c>
      <c r="E18" s="3" t="s">
        <v>553</v>
      </c>
      <c r="F18" s="3" t="s">
        <v>494</v>
      </c>
      <c r="G18" s="3" t="inlineStr">
        <is>
          <t xml:space="preserve">L’ISIFC (Institut supérieur d’ingénieurs de Franche-Comté), à Besançon, forme des ingénieurs en génie biomédical, avec une triple culture technique, médicale et réglementaire. En 3e année, les options sont la bio-ingénierie, la biomécanique et les microsystèmes, l’e-santé et la microrobotique pour la santé. Les élèves de BCPST y accèdent via le concours Polytech BCPST (13 places) ; 2 places sont ouvertes en TB.</t>
        </is>
      </c>
      <c r="H18" s="3" t="s">
        <v>557</v>
      </c>
      <c r="I18" s="3" t="s">
        <v>558</v>
      </c>
      <c r="J18" s="3" t="s">
        <v>559</v>
      </c>
      <c r="K18" s="3" t="s">
        <v>560</v>
      </c>
      <c r="L18" s="3" t="inlineStr">
        <is>
          <t xml:space="preserve">Génie biomédical ; Dispositifs médicaux ; Bio-ingénierie ; Biomécanique ; Microsystèmes ; E-santé ; Microrobotique pour la santé ; Réglementation ; Besançon ; Concours Polytech BCPST</t>
        </is>
      </c>
    </row>
    <row r="19" spans="1:12" ht="39.950000000000003" customHeight="1">
      <c r="A19" s="3" t="s">
        <v>191</v>
      </c>
      <c r="B19" s="3" t="s">
        <v>553</v>
      </c>
      <c r="C19" s="3" t="s">
        <v>553</v>
      </c>
      <c r="D19" s="3" t="s">
        <v>493</v>
      </c>
      <c r="E19" s="3" t="s">
        <v>553</v>
      </c>
      <c r="F19" s="3" t="s">
        <v>494</v>
      </c>
      <c r="G19" s="3" t="s">
        <v>926</v>
      </c>
      <c r="H19" s="3" t="s">
        <v>561</v>
      </c>
      <c r="I19" s="3" t="s">
        <v>562</v>
      </c>
      <c r="J19" s="3" t="s">
        <v>563</v>
      </c>
      <c r="K19" s="5" t="s">
        <v>564</v>
      </c>
      <c r="L19" t="s">
        <v>927</v>
      </c>
    </row>
    <row r="20" spans="1:12" ht="99" customHeight="99">
      <c r="A20" s="3" t="s">
        <v>144</v>
      </c>
      <c r="B20" s="3" t="s">
        <v>553</v>
      </c>
      <c r="C20" s="3" t="s">
        <v>553</v>
      </c>
      <c r="D20" s="3" t="s">
        <v>493</v>
      </c>
      <c r="E20" s="3" t="s">
        <v>553</v>
      </c>
      <c r="F20" s="3" t="s">
        <v>494</v>
      </c>
      <c r="G20" s="3" t="inlineStr">
        <is>
          <t xml:space="preserve">Polytech Clermont est une école d’ingénieurs du réseau Polytech. Les élèves de BCPST, de PC et de TB peuvent y intégrer la spécialité Génie biologique, centrée sur les biotechnologies durables et les bioprocédés, avec des applications comme le diagnostic, les matériaux biosourcés, la bioénergie et le bioraffinage.</t>
        </is>
      </c>
      <c r="H20" s="3" t="s">
        <v>518</v>
      </c>
      <c r="I20" s="3" t="s">
        <v>565</v>
      </c>
      <c r="J20" s="3" t="s">
        <v>566</v>
      </c>
      <c r="K20" s="3" t="s">
        <v>567</v>
      </c>
      <c r="L20" s="3" t="inlineStr">
        <is>
          <t xml:space="preserve">Génie biologique ; Biotechnologies durables ; Bioprocédés ; Matériaux biosourcés ; Bioénergie ; Bioraffinage ; Diagnostic ; Concours Polytech BCPST</t>
        </is>
      </c>
    </row>
    <row r="21" spans="1:12" ht="99" customHeight="99">
      <c r="A21" s="3" t="s">
        <v>85</v>
      </c>
      <c r="B21" s="3" t="s">
        <v>553</v>
      </c>
      <c r="C21" s="3" t="s">
        <v>553</v>
      </c>
      <c r="D21" s="3" t="s">
        <v>493</v>
      </c>
      <c r="E21" s="3" t="s">
        <v>553</v>
      </c>
      <c r="F21" s="3" t="s">
        <v>494</v>
      </c>
      <c r="G21" s="3" t="inlineStr">
        <is>
          <t xml:space="preserve">Polytech Tours est une école d’ingénieurs du réseau Polytech (Université de Tours). Les élèves de BCPST peuvent y intégrer la spécialité Génie de l’aménagement et de l’environnement via le concours Polytech BCPST, avec des enseignements liés à l’aménagement du territoire, à l’environnement et à la gestion de la ville et des réseaux.</t>
        </is>
      </c>
      <c r="H21" s="3" t="s">
        <v>568</v>
      </c>
      <c r="I21" s="3" t="s">
        <v>569</v>
      </c>
      <c r="J21" s="3" t="s">
        <v>570</v>
      </c>
      <c r="K21" s="3" t="s">
        <v>571</v>
      </c>
      <c r="L21" s="3" t="inlineStr">
        <is>
          <t xml:space="preserve">Génie de l’aménagement et de l’environnement ; Aménagement du territoire ; Environnement ; Ville ; Réseaux ; Concours Polytech BCPST ; Tours</t>
        </is>
      </c>
    </row>
    <row r="22" spans="1:12" ht="130" customHeight="130">
      <c r="A22" s="3" t="s">
        <v>119</v>
      </c>
      <c r="B22" s="3" t="s">
        <v>572</v>
      </c>
      <c r="C22" s="3" t="s">
        <v>572</v>
      </c>
      <c r="D22" s="3" t="s">
        <v>572</v>
      </c>
      <c r="E22" s="3" t="s">
        <v>572</v>
      </c>
      <c r="F22" s="3" t="s">
        <v>494</v>
      </c>
      <c r="G22" s="3" t="inlineStr">
        <is>
          <t xml:space="preserve">L’INSA Lyon est une grande école d’ingénieurs publique du groupe INSA, organisée en neuf départements : biosciences, génie civil et urbanisme, génie électrique, génie énergétique et environnement, génie industriel, génie mécanique, informatique, science et génie des matériaux et télécommunications. Les élèves de BCPST peuvent y accéder pour la spécialité biotechnologies et bioinformatique, via le recrutement commun du groupe INSA.</t>
        </is>
      </c>
      <c r="H22" s="3" t="s">
        <v>540</v>
      </c>
      <c r="I22" s="3" t="s">
        <v>573</v>
      </c>
      <c r="J22" s="3" t="s">
        <v>574</v>
      </c>
      <c r="K22" s="3" t="s">
        <v>575</v>
      </c>
      <c r="L22" s="3" t="inlineStr">
        <is>
          <t xml:space="preserve">Biosciences ; Biotechnologies et bioinformatique ; Génie civil et urbanisme ; Génie énergétique et environnement ; Génie industriel ; Génie mécanique ; Génie électrique ; Informatique ; Matériaux ; Télécommunications ; Groupe INSA</t>
        </is>
      </c>
    </row>
    <row r="23" spans="1:12" ht="114" customHeight="114">
      <c r="A23" s="3" t="s">
        <v>576</v>
      </c>
      <c r="B23" s="3" t="s">
        <v>572</v>
      </c>
      <c r="C23" s="3" t="s">
        <v>572</v>
      </c>
      <c r="D23" s="3" t="s">
        <v>572</v>
      </c>
      <c r="E23" s="3" t="s">
        <v>572</v>
      </c>
      <c r="F23" s="3" t="s">
        <v>494</v>
      </c>
      <c r="G23" s="3" t="inlineStr">
        <is>
          <t xml:space="preserve">L’INSA Rouen Normandie est une école d’ingénieurs publique du groupe INSA, installée à Saint-Étienne-du-Rouvray (avec une antenne au Havre). Elle propose notamment les spécialités génie civil et construction durable, énergétique et propulsion, mécanique, génie mathématique, architecture des systèmes d’information, ainsi que chimie et procédés et gestion des risques.</t>
        </is>
      </c>
      <c r="H23" s="3" t="s">
        <v>577</v>
      </c>
      <c r="I23" s="3" t="s">
        <v>578</v>
      </c>
      <c r="J23" s="3" t="s">
        <v>579</v>
      </c>
      <c r="K23" s="3" t="s">
        <v>580</v>
      </c>
      <c r="L23" s="3" t="inlineStr">
        <is>
          <t xml:space="preserve">Génie civil ; Construction durable ; Énergétique et propulsion ; Mécanique ; Génie mathématique ; Architecture des systèmes d’information ; Chimie et procédés ; Gestion des risques ; Groupe INSA</t>
        </is>
      </c>
    </row>
    <row r="24" spans="1:12" ht="130" customHeight="130">
      <c r="A24" s="3" t="s">
        <v>331</v>
      </c>
      <c r="B24" s="3" t="s">
        <v>572</v>
      </c>
      <c r="C24" s="3" t="s">
        <v>572</v>
      </c>
      <c r="D24" s="3" t="s">
        <v>572</v>
      </c>
      <c r="E24" s="3" t="s">
        <v>572</v>
      </c>
      <c r="F24" s="3" t="s">
        <v>494</v>
      </c>
      <c r="G24" s="3" t="inlineStr">
        <is>
          <t xml:space="preserve">L’INSA Toulouse est une grande école d’ingénieurs publique du groupe INSA, avec huit spécialités : génie biologique, génie des procédés et environnement, génie civil, génie mécanique, génie physique, automatique et électronique, génie mathématique et modélisation, informatique et réseaux. Le génie biologique et le génie des procédés et environnement sont les plus proches des profils BCPST (biotechnologies, bioprocédés, environnement).</t>
        </is>
      </c>
      <c r="H24" s="3" t="s">
        <v>536</v>
      </c>
      <c r="I24" s="3" t="s">
        <v>581</v>
      </c>
      <c r="J24" s="3" t="s">
        <v>582</v>
      </c>
      <c r="K24" s="3" t="s">
        <v>583</v>
      </c>
      <c r="L24" s="3" t="inlineStr">
        <is>
          <t xml:space="preserve">Génie biologique ; Génie des procédés et environnement ; Biologie des systèmes ; Génie civil ; Génie mécanique ; Génie physique ; Automatique-électronique ; Génie mathématique et modélisation ; Informatique et réseaux ; Groupe INSA</t>
        </is>
      </c>
    </row>
    <row r="25" spans="1:12" ht="99" customHeight="99">
      <c r="A25" s="3" t="s">
        <v>584</v>
      </c>
      <c r="B25" s="3" t="s">
        <v>572</v>
      </c>
      <c r="C25" s="3" t="s">
        <v>572</v>
      </c>
      <c r="D25" s="3" t="s">
        <v>572</v>
      </c>
      <c r="E25" s="3" t="s">
        <v>572</v>
      </c>
      <c r="F25" s="3" t="s">
        <v>494</v>
      </c>
      <c r="G25" s="3" t="inlineStr">
        <is>
          <t xml:space="preserve">L’INSA Strasbourg est une école d’ingénieurs et d’architectes du groupe INSA. Elle propose sept spécialités d’ingénieur (génie civil, topographie, génie électrique, génie mécanique, plasturgie, mécatronique, génie climatique et énergétique) et délivre le diplôme d’architecte, ce qui en fait la seule école d’ingénieurs française à le faire.</t>
        </is>
      </c>
      <c r="H25" s="3" t="s">
        <v>546</v>
      </c>
      <c r="I25" s="3" t="s">
        <v>585</v>
      </c>
      <c r="J25" s="3" t="s">
        <v>586</v>
      </c>
      <c r="K25" s="3" t="s">
        <v>587</v>
      </c>
      <c r="L25" s="3" t="inlineStr">
        <is>
          <t xml:space="preserve">Génie civil ; Topographie ; Génie électrique ; Génie mécanique ; Plasturgie ; Mécatronique ; Génie climatique et énergétique ; Architecture ; Groupe INSA</t>
        </is>
      </c>
    </row>
    <row r="26" spans="1:12" ht="130" customHeight="130">
      <c r="A26" s="3" t="s">
        <v>107</v>
      </c>
      <c r="B26" s="3" t="s">
        <v>572</v>
      </c>
      <c r="C26" s="3" t="s">
        <v>572</v>
      </c>
      <c r="D26" s="3" t="s">
        <v>572</v>
      </c>
      <c r="E26" s="3" t="s">
        <v>572</v>
      </c>
      <c r="F26" s="3" t="s">
        <v>494</v>
      </c>
      <c r="G26" s="3" t="inlineStr">
        <is>
          <t xml:space="preserve">ESITech est l’école d’ingénieurs de l’Université de Rouen Normandie (Saint-Étienne-du-Rouvray), liée au groupe INSA. Elle propose deux spécialités : génie biologique (en convention avec l’INSA Rouen, options bioproduction et biotechnologies et produits de santé) et génie physique et santé (dispositifs médicaux, imagerie, biomécanique…). Elle recrute après CPGE sur dossier et épreuves orales, ou via le recrutement commun du groupe INSA.</t>
        </is>
      </c>
      <c r="H26" s="3" t="s">
        <v>588</v>
      </c>
      <c r="I26" s="3" t="s">
        <v>589</v>
      </c>
      <c r="J26" s="3" t="s">
        <v>590</v>
      </c>
      <c r="K26" s="3" t="s">
        <v>591</v>
      </c>
      <c r="L26" s="3" t="inlineStr">
        <is>
          <t xml:space="preserve">Génie biologique ; Bioproduction ; Biotechnologies et produits de santé ; Génie physique et santé ; Dispositifs médicaux ; Imagerie médicale ; Biomécanique ; Pharmacie ; Groupe INSA ; Rouen</t>
        </is>
      </c>
    </row>
    <row r="27" spans="1:12" ht="99" customHeight="99">
      <c r="A27" s="3" t="s">
        <v>94</v>
      </c>
      <c r="B27" s="3" t="s">
        <v>592</v>
      </c>
      <c r="C27" s="3" t="s">
        <v>592</v>
      </c>
      <c r="D27" s="3" t="s">
        <v>593</v>
      </c>
      <c r="E27" s="3" t="s">
        <v>593</v>
      </c>
      <c r="F27" s="3" t="s">
        <v>494</v>
      </c>
      <c r="G27" s="3" t="inlineStr">
        <is>
          <t xml:space="preserve">L’Université d’Orléans propose, notamment au sein de son Collegium Sciences et Techniques, des licences et masters scientifiques (sciences de la vie, sciences de la Terre, chimie, physique, mathématiques, informatique). Les étudiants issus de BCPST ou de TB peuvent candidater sur dossier pour poursuivre en licence ou en master.</t>
        </is>
      </c>
      <c r="H27" s="3" t="s">
        <v>594</v>
      </c>
      <c r="I27" s="3" t="s">
        <v>595</v>
      </c>
      <c r="J27" s="3" t="s">
        <v>596</v>
      </c>
      <c r="K27" s="3" t="s">
        <v>597</v>
      </c>
      <c r="L27" s="3" t="inlineStr">
        <is>
          <t xml:space="preserve">Sciences de la vie ; Sciences de la Terre ; Chimie ; Physique ; Licence ; Master ; Recherche ; Poursuite d’études sur dossier</t>
        </is>
      </c>
    </row>
    <row r="28" spans="1:12" ht="114" customHeight="114">
      <c r="A28" s="3" t="s">
        <v>129</v>
      </c>
      <c r="B28" s="3" t="s">
        <v>592</v>
      </c>
      <c r="C28" s="3" t="s">
        <v>592</v>
      </c>
      <c r="D28" s="3" t="s">
        <v>593</v>
      </c>
      <c r="E28" s="3" t="s">
        <v>593</v>
      </c>
      <c r="F28" s="3" t="s">
        <v>494</v>
      </c>
      <c r="G28" s="3" t="inlineStr">
        <is>
          <t xml:space="preserve">Le Mans Université propose, au sein de sa faculté des sciences et techniques, des licences en sciences de la vie, sciences de la Terre, physique-chimie et acoustique et vibrations, ainsi que des masters en acoustique et en chimie. L’université est reconnue pour son pôle d’acoustique. Les étudiants issus de BCPST ou de TB peuvent candidater sur dossier.</t>
        </is>
      </c>
      <c r="H28" s="3" t="s">
        <v>598</v>
      </c>
      <c r="I28" s="3" t="s">
        <v>599</v>
      </c>
      <c r="J28" s="3" t="s">
        <v>600</v>
      </c>
      <c r="K28" s="3" t="s">
        <v>601</v>
      </c>
      <c r="L28" s="3" t="inlineStr">
        <is>
          <t xml:space="preserve">Sciences de la vie ; Sciences de la Terre ; Physique-chimie ; Acoustique et vibrations ; Licence ; Master ; Recherche ; Poursuite d’études sur dossier</t>
        </is>
      </c>
    </row>
    <row r="29" spans="1:12" ht="130" customHeight="130">
      <c r="A29" s="3" t="s">
        <v>319</v>
      </c>
      <c r="B29" s="3" t="s">
        <v>553</v>
      </c>
      <c r="C29" s="3" t="s">
        <v>553</v>
      </c>
      <c r="D29" s="3" t="s">
        <v>493</v>
      </c>
      <c r="E29" s="3" t="s">
        <v>553</v>
      </c>
      <c r="F29" s="3" t="s">
        <v>494</v>
      </c>
      <c r="G29" s="3" t="inlineStr">
        <is>
          <t xml:space="preserve">Polytech Nice Sophia, à Sophia Antipolis, est l’école d’ingénieurs de l’Université Côte d’Azur (réseau Polytech). Elle propose notamment le génie biologique (pharmacologie, toxicologie, bio-informatique ; santé, cosmétique, arômes et parfums, environnement) et le génie de l’eau (ressource en eau, inondations, eau potable, eaux usées et pluviales), ainsi que le bâtiment, l’électronique, l’informatique et les mathématiques appliquées.</t>
        </is>
      </c>
      <c r="H29" s="3" t="s">
        <v>568</v>
      </c>
      <c r="I29" s="5" t="s">
        <v>602</v>
      </c>
      <c r="J29" s="3" t="s">
        <v>603</v>
      </c>
      <c r="K29" s="5" t="s">
        <v>604</v>
      </c>
      <c r="L29" s="3" t="inlineStr">
        <is>
          <t xml:space="preserve">Génie biologique ; Pharmacologie ; Toxicologie ; Bio-informatique ; Cosmétique ; Arômes et parfums ; Génie de l’eau ; Inondations ; Bâtiment ; Électronique ; Informatique ; Sophia Antipolis</t>
        </is>
      </c>
    </row>
    <row r="30" spans="1:12" ht="114" customHeight="114">
      <c r="A30" s="3" t="s">
        <v>321</v>
      </c>
      <c r="B30" s="3" t="s">
        <v>553</v>
      </c>
      <c r="C30" s="3" t="s">
        <v>553</v>
      </c>
      <c r="D30" s="3" t="s">
        <v>493</v>
      </c>
      <c r="E30" s="3" t="s">
        <v>553</v>
      </c>
      <c r="F30" s="3" t="s">
        <v>494</v>
      </c>
      <c r="G30" s="3" t="inlineStr">
        <is>
          <t xml:space="preserve">L’EPISEN (École publique d’ingénieurs de la santé et du numérique), rattachée à l’Université Paris-Est Créteil, propose trois spécialités d’ingénieur à l’interface de la santé et du numérique : génie biomédical et santé, informatique et santé, systèmes d’information. Les élèves de BCPST peuvent y accéder via le concours Polytech BCPST, et l’apprentissage est possible.</t>
        </is>
      </c>
      <c r="H30" s="6" t="s">
        <v>605</v>
      </c>
      <c r="I30" s="3" t="s">
        <v>606</v>
      </c>
      <c r="J30" s="6" t="s">
        <v>607</v>
      </c>
      <c r="K30" s="3" t="s">
        <v>608</v>
      </c>
      <c r="L30" s="3" t="inlineStr">
        <is>
          <t xml:space="preserve">Santé numérique ; Génie biomédical et santé ; Informatique et santé ; Systèmes d’information ; Apprentissage ; Concours Polytech BCPST ; Créteil</t>
        </is>
      </c>
    </row>
    <row r="31" spans="1:12" ht="130" customHeight="130">
      <c r="A31" s="6" t="s">
        <v>337</v>
      </c>
      <c r="B31" s="6" t="s">
        <v>553</v>
      </c>
      <c r="C31" s="6" t="s">
        <v>553</v>
      </c>
      <c r="D31" s="3" t="s">
        <v>493</v>
      </c>
      <c r="E31" s="3" t="s">
        <v>553</v>
      </c>
      <c r="F31" s="3" t="s">
        <v>494</v>
      </c>
      <c r="G31" s="100" t="inlineStr">
        <is>
          <t xml:space="preserve">L’ESIAB (École supérieure d’ingénieurs en agroalimentaire de Bretagne atlantique), école interne de Bretagne INP et composante de l’Université de Bretagne Occidentale, propose deux spécialités d’ingénieur : agroalimentaire à Quimper (apprentissage possible) et microbiologie et sécurité sanitaire à Brest. Elle forme aux métiers de la production, de la qualité et de l’innovation dans l’industrie agroalimentaire.</t>
        </is>
      </c>
      <c r="H31" s="6" t="s">
        <v>609</v>
      </c>
      <c r="I31" s="3" t="s">
        <v>610</v>
      </c>
      <c r="J31" s="6" t="s">
        <v>611</v>
      </c>
      <c r="K31" s="3" t="s">
        <v>612</v>
      </c>
      <c r="L31" s="3" t="inlineStr">
        <is>
          <t xml:space="preserve">Agroalimentaire ; Microbiologie ; Sécurité sanitaire ; Qualité ; Production ; Innovation ; Industrie agroalimentaire ; Apprentissage ; Quimper ; Brest</t>
        </is>
      </c>
    </row>
    <row r="32" spans="1:12" ht="39.950000000000003" customHeight="1">
      <c r="A32" s="6" t="s">
        <v>264</v>
      </c>
      <c r="B32" s="6" t="s">
        <v>553</v>
      </c>
      <c r="C32" s="6" t="s">
        <v>553</v>
      </c>
      <c r="D32" s="3" t="s">
        <v>493</v>
      </c>
      <c r="E32" s="3" t="s">
        <v>553</v>
      </c>
      <c r="F32" s="3" t="s">
        <v>494</v>
      </c>
      <c r="G32" s="3" t="s">
        <v>934</v>
      </c>
      <c r="H32" s="6" t="s">
        <v>613</v>
      </c>
      <c r="I32" s="3" t="s">
        <v>614</v>
      </c>
      <c r="J32" s="6" t="s">
        <v>615</v>
      </c>
      <c r="K32" s="3" t="s">
        <v>616</v>
      </c>
      <c r="L32" s="3" t="s">
        <v>935</v>
      </c>
    </row>
    <row r="33" spans="1:12" ht="99" customHeight="99">
      <c r="A33" s="6" t="s">
        <v>350</v>
      </c>
      <c r="B33" s="3" t="s">
        <v>617</v>
      </c>
      <c r="C33" s="3" t="s">
        <v>617</v>
      </c>
      <c r="D33" s="3" t="s">
        <v>617</v>
      </c>
      <c r="E33" s="3" t="s">
        <v>617</v>
      </c>
      <c r="F33" s="3" t="s">
        <v>494</v>
      </c>
      <c r="G33" s="100" t="inlineStr">
        <is>
          <t xml:space="preserve">L’ENS Paris-Saclay (Gif-sur-Yvette) est une école normale supérieure pluridisciplinaire (sciences, ingénierie, sciences sociales). Elle recrute les élèves de BCPST et de TB via le concours ENS (15 places pour la voie BCPST), avec le statut d’élève fonctionnaire. La formation est tournée vers la recherche, jusqu’au master et au doctorat.</t>
        </is>
      </c>
      <c r="H33" s="6" t="s">
        <v>495</v>
      </c>
      <c r="I33" s="3" t="s">
        <v>618</v>
      </c>
      <c r="J33" s="8" t="s">
        <v>619</v>
      </c>
      <c r="K33" s="3" t="s">
        <v>620</v>
      </c>
      <c r="L33" s="3" t="inlineStr">
        <is>
          <t xml:space="preserve">Recherche ; Interdisciplinarité ; Biologie ; Master ; Doctorat ; Concours ENS BCPST ; Élèves fonctionnaires ; Gif-sur-Yvette</t>
        </is>
      </c>
    </row>
    <row r="34" spans="1:12" ht="130" customHeight="130">
      <c r="A34" s="3" t="s">
        <v>209</v>
      </c>
      <c r="B34" s="3" t="s">
        <v>492</v>
      </c>
      <c r="C34" s="3" t="s">
        <v>492</v>
      </c>
      <c r="D34" s="3" t="s">
        <v>493</v>
      </c>
      <c r="E34" s="3" t="s">
        <v>493</v>
      </c>
      <c r="F34" s="3" t="s">
        <v>494</v>
      </c>
      <c r="G34" s="3" t="inlineStr">
        <is>
          <t xml:space="preserve">AgroToulouse (Toulouse INP-ENSAT), à Castanet-Tolosan, forme en 3 ans des ingénieurs agronomes (apprentissage possible) dans les domaines de l’agriculture, de l’alimentation et de l’environnement, avec des spécialisations en 3e année (dont l’ingénierie agroalimentaire). L’école délivre aussi le diplôme national d’œnologue. L’admission se fait notamment via le concours Agro-Véto (94 places en BCPST, 8 en TB).</t>
        </is>
      </c>
      <c r="H34" s="3" t="s">
        <v>536</v>
      </c>
      <c r="I34" s="3" t="s">
        <v>621</v>
      </c>
      <c r="J34" s="3" t="s">
        <v>622</v>
      </c>
      <c r="K34" s="3" t="s">
        <v>623</v>
      </c>
      <c r="L34" s="3" t="inlineStr">
        <is>
          <t xml:space="preserve">Agronomie ; Agroalimentaire ; Environnement ; Œnologie ; Transition agroécologique ; Spécialisations de 3e année ; Apprentissage ; Agreenium ; Groupe INP ; Concours Agro-Véto</t>
        </is>
      </c>
    </row>
    <row r="35" spans="1:12" ht="130" customHeight="130">
      <c r="A35" s="3" t="s">
        <v>403</v>
      </c>
      <c r="B35" s="3" t="s">
        <v>553</v>
      </c>
      <c r="C35" s="3" t="s">
        <v>553</v>
      </c>
      <c r="D35" s="3" t="s">
        <v>493</v>
      </c>
      <c r="E35" s="3" t="s">
        <v>553</v>
      </c>
      <c r="F35" s="3" t="s">
        <v>494</v>
      </c>
      <c r="G35" s="3" t="inlineStr">
        <is>
          <t xml:space="preserve">L’ESBS (École supérieure de biotechnologie de Strasbourg), à Illkirch-Graffenstaden, forme des ingénieurs en biotechnologie, avec des spécialisations en analyse haut-débit, biologie synthétique, et bioproduction et biomédicaments. Elle propose aussi, avec l’ECPM, le diplôme ChemBiotech (chimie et biotechnologie). Elle recrute les élèves de BCPST via le concours Polytech BCPST (8 places), 2 places étant ouvertes en TB.</t>
        </is>
      </c>
      <c r="H35" s="3" t="s">
        <v>546</v>
      </c>
      <c r="I35" s="5" t="s">
        <v>624</v>
      </c>
      <c r="J35" s="3" t="s">
        <v>625</v>
      </c>
      <c r="K35" s="3" t="s">
        <v>626</v>
      </c>
      <c r="L35" s="3" t="inlineStr">
        <is>
          <t xml:space="preserve">Biotechnologies ; Analyse haut-débit ; Biologie synthétique ; Bioproduction ; Biomédicaments ; ChemBiotech ; Industrie pharmaceutique ; Santé ; Concours Polytech BCPST ; Strasbourg</t>
        </is>
      </c>
    </row>
    <row r="36" spans="1:12" ht="44.25" customHeight="1">
      <c r="A36" s="3" t="s">
        <v>425</v>
      </c>
      <c r="B36" s="3" t="s">
        <v>553</v>
      </c>
      <c r="C36" s="3" t="s">
        <v>553</v>
      </c>
      <c r="D36" s="3" t="s">
        <v>493</v>
      </c>
      <c r="E36" s="3" t="s">
        <v>553</v>
      </c>
      <c r="F36" s="3" t="s">
        <v>494</v>
      </c>
      <c r="G36" s="3" t="s">
        <v>937</v>
      </c>
      <c r="H36" s="3" t="s">
        <v>627</v>
      </c>
      <c r="I36" s="3" t="s">
        <v>628</v>
      </c>
      <c r="J36" s="3" t="s">
        <v>629</v>
      </c>
      <c r="K36" s="36" t="s">
        <v>630</v>
      </c>
      <c r="L36" t="s">
        <v>928</v>
      </c>
    </row>
    <row r="37" spans="1:12" ht="99" customHeight="99">
      <c r="A37" s="3" t="s">
        <v>441</v>
      </c>
      <c r="B37" s="3" t="s">
        <v>592</v>
      </c>
      <c r="C37" s="3" t="s">
        <v>592</v>
      </c>
      <c r="D37" s="3" t="s">
        <v>593</v>
      </c>
      <c r="E37" s="3" t="s">
        <v>593</v>
      </c>
      <c r="F37" s="3" t="s">
        <v>494</v>
      </c>
      <c r="G37" s="3" t="inlineStr">
        <is>
          <t xml:space="preserve">Les universités toulousaines (notamment l’Université Toulouse III – Paul Sabatier) proposent des licences et masters scientifiques en sciences de la vie, sciences de la Terre, chimie, physique et mathématiques. Les étudiants issus de BCPST ou de TB peuvent candidater sur dossier pour poursuivre en licence ou en master.</t>
        </is>
      </c>
      <c r="H37" s="3" t="s">
        <v>536</v>
      </c>
      <c r="I37" s="5" t="s">
        <v>631</v>
      </c>
      <c r="J37" s="3" t="s">
        <v>632</v>
      </c>
      <c r="K37" s="5" t="s">
        <v>633</v>
      </c>
      <c r="L37" s="3" t="inlineStr">
        <is>
          <t xml:space="preserve">Sciences de la vie ; Sciences de la Terre ; Chimie ; Physique ; Licence ; Master ; Recherche ; Poursuite d’études sur dossier</t>
        </is>
      </c>
    </row>
    <row r="38" spans="1:12" ht="83" customHeight="83">
      <c r="A38" s="3" t="s">
        <v>444</v>
      </c>
      <c r="B38" s="3" t="s">
        <v>592</v>
      </c>
      <c r="C38" s="3" t="s">
        <v>592</v>
      </c>
      <c r="D38" s="3" t="s">
        <v>593</v>
      </c>
      <c r="E38" s="3" t="s">
        <v>593</v>
      </c>
      <c r="F38" s="3" t="s">
        <v>494</v>
      </c>
      <c r="G38" s="3" t="inlineStr">
        <is>
          <t xml:space="preserve">L’Université de Rennes propose des licences et masters scientifiques en sciences de la vie, sciences de la Terre et de l’environnement, chimie, physique et mathématiques. Les étudiants issus de BCPST ou de TB peuvent candidater sur dossier pour poursuivre en licence ou en master.</t>
        </is>
      </c>
      <c r="H38" s="3" t="s">
        <v>514</v>
      </c>
      <c r="I38" s="5" t="s">
        <v>634</v>
      </c>
      <c r="J38" s="4" t="s">
        <v>635</v>
      </c>
      <c r="K38" s="3" t="s">
        <v>636</v>
      </c>
      <c r="L38" s="3" t="inlineStr">
        <is>
          <t xml:space="preserve">Sciences de la vie ; Sciences de la Terre ; Environnement ; Chimie ; Physique ; Licence ; Master ; Recherche ; Poursuite d’études sur dossier</t>
        </is>
      </c>
    </row>
    <row r="39" spans="1:12" ht="99" customHeight="99">
      <c r="A39" s="3" t="s">
        <v>446</v>
      </c>
      <c r="B39" s="3" t="s">
        <v>592</v>
      </c>
      <c r="C39" s="3" t="s">
        <v>592</v>
      </c>
      <c r="D39" s="3" t="s">
        <v>593</v>
      </c>
      <c r="E39" s="3" t="s">
        <v>593</v>
      </c>
      <c r="F39" s="3" t="s">
        <v>494</v>
      </c>
      <c r="G39" s="3" t="inlineStr">
        <is>
          <t xml:space="preserve">L’UFR Sciences et Techniques de l’Université de Rouen Normandie (Mont-Saint-Aignan) propose des licences et masters scientifiques en sciences de la vie, chimie, physique, mathématiques et informatique. Les étudiants issus de BCPST ou de TB peuvent candidater sur dossier pour poursuivre en licence ou en master.</t>
        </is>
      </c>
      <c r="H39" s="3" t="s">
        <v>577</v>
      </c>
      <c r="I39" s="5" t="s">
        <v>634</v>
      </c>
      <c r="J39" s="4" t="s">
        <v>637</v>
      </c>
      <c r="K39" s="3" t="s">
        <v>638</v>
      </c>
      <c r="L39" s="3" t="inlineStr">
        <is>
          <t xml:space="preserve">Sciences de la vie ; Chimie ; Physique ; Mathématiques ; Informatique ; Licence ; Master ; Recherche ; Poursuite d’études sur dossier</t>
        </is>
      </c>
    </row>
    <row r="40" spans="1:12" ht="99" customHeight="99">
      <c r="A40" s="3" t="s">
        <v>448</v>
      </c>
      <c r="B40" s="3" t="s">
        <v>592</v>
      </c>
      <c r="C40" s="3" t="s">
        <v>592</v>
      </c>
      <c r="D40" s="3" t="s">
        <v>593</v>
      </c>
      <c r="E40" s="3" t="s">
        <v>593</v>
      </c>
      <c r="F40" s="3" t="s">
        <v>494</v>
      </c>
      <c r="G40" s="3" t="inlineStr">
        <is>
          <t xml:space="preserve">L’Université d’Évry Paris-Saclay est implantée au cœur du Genopole, biocluster français consacré à la génomique et aux biotechnologies. Elle propose des licences et masters scientifiques, notamment dans les sciences de la vie. Les étudiants issus de BCPST ou de TB peuvent candidater sur dossier.</t>
        </is>
      </c>
      <c r="H40" s="3" t="s">
        <v>639</v>
      </c>
      <c r="I40" s="4" t="s">
        <v>640</v>
      </c>
      <c r="J40" s="3" t="s">
        <v>641</v>
      </c>
      <c r="K40" s="3" t="s">
        <v>642</v>
      </c>
      <c r="L40" s="3" t="inlineStr">
        <is>
          <t xml:space="preserve">Sciences de la vie ; Génomique ; Biotechnologies ; Genopole ; Licence ; Master ; Recherche ; Paris-Saclay ; Poursuite d’études sur dossier</t>
        </is>
      </c>
    </row>
    <row r="41" spans="1:12" ht="99" customHeight="99">
      <c r="A41" s="3" t="s">
        <v>451</v>
      </c>
      <c r="B41" s="3" t="s">
        <v>592</v>
      </c>
      <c r="C41" s="3" t="s">
        <v>592</v>
      </c>
      <c r="D41" s="3" t="s">
        <v>593</v>
      </c>
      <c r="E41" s="3" t="s">
        <v>593</v>
      </c>
      <c r="F41" s="3" t="s">
        <v>494</v>
      </c>
      <c r="G41" s="3" t="inlineStr">
        <is>
          <t xml:space="preserve">La faculté des sciences d’Orsay, composante de l’Université Paris-Saclay, propose des licences et masters scientifiques (sciences de la vie, chimie, physique, mathématiques), adossés à de nombreux laboratoires de recherche. Les étudiants issus de BCPST ou de TB peuvent candidater sur dossier pour poursuivre en licence ou en master.</t>
        </is>
      </c>
      <c r="H41" s="3" t="s">
        <v>495</v>
      </c>
      <c r="I41" s="13" t="s">
        <v>643</v>
      </c>
      <c r="J41" s="12" t="s">
        <v>644</v>
      </c>
      <c r="K41" s="3" t="s">
        <v>645</v>
      </c>
      <c r="L41" s="3" t="inlineStr">
        <is>
          <t xml:space="preserve">Sciences de la vie ; Chimie ; Physique ; Mathématiques ; Licence ; Master ; Recherche ; Paris-Saclay ; Poursuite d’études sur dossier</t>
        </is>
      </c>
    </row>
    <row r="42" spans="1:12" ht="72" customHeight="1">
      <c r="A42" s="10" t="s">
        <v>455</v>
      </c>
      <c r="B42" s="10" t="s">
        <v>553</v>
      </c>
      <c r="C42" s="10" t="s">
        <v>553</v>
      </c>
      <c r="D42" s="3" t="s">
        <v>493</v>
      </c>
      <c r="E42" s="10" t="s">
        <v>553</v>
      </c>
      <c r="F42" s="3" t="s">
        <v>494</v>
      </c>
      <c r="G42" s="3" t="s">
        <v>936</v>
      </c>
      <c r="H42" s="10" t="s">
        <v>646</v>
      </c>
      <c r="I42" s="12" t="s">
        <v>647</v>
      </c>
      <c r="J42" s="12" t="s">
        <v>648</v>
      </c>
      <c r="K42" s="3" t="s">
        <v>649</v>
      </c>
      <c r="L42" t="s">
        <v>929</v>
      </c>
    </row>
    <row r="43" spans="1:12" ht="99" customHeight="99">
      <c r="A43" s="10" t="s">
        <v>473</v>
      </c>
      <c r="B43" s="3" t="s">
        <v>617</v>
      </c>
      <c r="C43" s="3" t="s">
        <v>617</v>
      </c>
      <c r="D43" s="3" t="s">
        <v>617</v>
      </c>
      <c r="E43" s="3" t="s">
        <v>617</v>
      </c>
      <c r="F43" s="3" t="s">
        <v>494</v>
      </c>
      <c r="G43" s="100" t="inlineStr">
        <is>
          <t xml:space="preserve">L’ENS de Lyon est une école normale supérieure scientifique et littéraire. Elle recrute les élèves de BCPST via le concours ENS (environ 33 places, statut d’élève fonctionnaire). La formation est tournée vers la recherche (master, doctorat), avec un double cursus ingénieur-chercheur possible avec Centrale Lyon.</t>
        </is>
      </c>
      <c r="H43" s="10" t="s">
        <v>540</v>
      </c>
      <c r="I43" s="5" t="s">
        <v>650</v>
      </c>
      <c r="J43" s="10" t="s">
        <v>651</v>
      </c>
      <c r="K43" s="5" t="s">
        <v>652</v>
      </c>
      <c r="L43" s="3" t="inlineStr">
        <is>
          <t xml:space="preserve">Recherche ; Biologie ; Master ; Doctorat ; Double diplôme ; Ingénieur-chercheur ; Concours ENS BCPST ; Élèves fonctionnaires ; Lyon</t>
        </is>
      </c>
    </row>
    <row r="44" spans="1:12" ht="114" customHeight="114">
      <c r="A44" s="10" t="s">
        <v>653</v>
      </c>
      <c r="B44" s="3" t="s">
        <v>617</v>
      </c>
      <c r="C44" s="3" t="s">
        <v>617</v>
      </c>
      <c r="D44" s="3" t="s">
        <v>617</v>
      </c>
      <c r="E44" s="3" t="s">
        <v>617</v>
      </c>
      <c r="F44" s="10" t="s">
        <v>494</v>
      </c>
      <c r="G44" s="100" t="inlineStr">
        <is>
          <t xml:space="preserve">L’École normale supérieure – PSL (rue d’Ulm, Paris) est une école normale supérieure pluridisciplinaire (sciences, lettres, sciences humaines) adossée à l’Université PSL. Elle recrute les élèves de BCPST via le concours ENS (environ 21 places, statut d’élève fonctionnaire). La formation est tournée vers la recherche, jusqu’au master et au doctorat.</t>
        </is>
      </c>
      <c r="H44" s="10" t="s">
        <v>495</v>
      </c>
      <c r="I44" s="5" t="s">
        <v>654</v>
      </c>
      <c r="J44" s="10" t="s">
        <v>655</v>
      </c>
      <c r="K44" s="5" t="s">
        <v>656</v>
      </c>
      <c r="L44" s="3" t="inlineStr">
        <is>
          <t xml:space="preserve">Recherche ; Interdisciplinarité ; Biologie ; Master ; Doctorat ; Concours ENS BCPST ; Élèves fonctionnaires ; PSL ; Paris</t>
        </is>
      </c>
    </row>
    <row r="45" spans="1:12" ht="99" customHeight="99">
      <c r="A45" s="14" t="s">
        <v>657</v>
      </c>
      <c r="B45" s="25" t="s">
        <v>658</v>
      </c>
      <c r="C45" s="25"/>
      <c r="D45" s="3" t="s">
        <v>493</v>
      </c>
      <c r="E45" s="10"/>
      <c r="F45" s="3" t="s">
        <v>1</v>
      </c>
      <c r="G45" s="3" t="inlineStr">
        <is>
          <t xml:space="preserve">CentraleSupélec est une grande école d’ingénieurs généraliste du Groupe des écoles Centrale, sur le plateau de Paris-Saclay, avec des domaines forts en numérique et en énergie. Les élèves de BCPST peuvent y accéder via le concours Agro-Véto, pour un nombre limité de places (campus de Metz).</t>
        </is>
      </c>
      <c r="H45" s="15" t="s">
        <v>495</v>
      </c>
      <c r="I45" s="5" t="s">
        <v>659</v>
      </c>
      <c r="J45" s="10" t="s">
        <v>660</v>
      </c>
      <c r="K45" s="3" t="s">
        <v>661</v>
      </c>
      <c r="L45" s="3" t="inlineStr">
        <is>
          <t xml:space="preserve">Ingénierie généraliste ; Numérique ; Énergie ; Paris-Saclay ; Campus de Metz ; Concours Agro-Véto ; Groupe Centrale</t>
        </is>
      </c>
    </row>
    <row r="46" spans="1:12" ht="114" customHeight="114">
      <c r="A46" s="12" t="s">
        <v>662</v>
      </c>
      <c r="B46" s="10" t="s">
        <v>492</v>
      </c>
      <c r="C46" s="10" t="s">
        <v>492</v>
      </c>
      <c r="D46" s="3" t="s">
        <v>493</v>
      </c>
      <c r="E46" s="10" t="s">
        <v>493</v>
      </c>
      <c r="F46" s="10" t="s">
        <v>494</v>
      </c>
      <c r="G46" s="100" t="inlineStr">
        <is>
          <t xml:space="preserve">L’École nationale supérieure de paysage (ENSP), à Versailles et Marseille, délivre le diplôme d’État de paysagiste (DEP), qui confère le grade de master. Le cycle dure 3 ans (apprentissage possible dès la 2e année) et mène au métier de paysagiste concepteur ; une admission en 2e année est possible sur titre avec un bac+3 (dossier et épreuves orales).</t>
        </is>
      </c>
      <c r="H46" s="10" t="s">
        <v>663</v>
      </c>
      <c r="I46" s="12" t="s">
        <v>664</v>
      </c>
      <c r="J46" s="12" t="s">
        <v>665</v>
      </c>
      <c r="K46" s="3" t="s">
        <v>666</v>
      </c>
      <c r="L46" s="3" t="inlineStr">
        <is>
          <t xml:space="preserve">Paysage ; Paysagiste concepteur ; Projet de paysage ; Diplôme d’État de paysagiste ; Grade de master ; Apprentissage ; Admission sur titre ; Versailles ; Marseille</t>
        </is>
      </c>
    </row>
    <row r="47" spans="1:12" ht="83" customHeight="83">
      <c r="A47" s="12" t="s">
        <v>667</v>
      </c>
      <c r="B47" s="10" t="s">
        <v>545</v>
      </c>
      <c r="C47" s="10"/>
      <c r="D47" s="10" t="s">
        <v>545</v>
      </c>
      <c r="E47" s="10"/>
      <c r="F47" s="10" t="s">
        <v>1</v>
      </c>
      <c r="G47" s="3" t="inlineStr">
        <is>
          <t xml:space="preserve">IMT Mines Albi (Albi-Carmaux) est une école d’ingénieurs généraliste de l’Institut Mines-Télécom, avec des domaines forts en génie des procédés, énergie et matériaux. Elle recrute les élèves de BCPST via le concours G2E (7 places en 2026).</t>
        </is>
      </c>
      <c r="H47" s="10" t="s">
        <v>668</v>
      </c>
      <c r="I47" s="10" t="s">
        <v>669</v>
      </c>
      <c r="J47" s="12" t="s">
        <v>670</v>
      </c>
      <c r="K47" s="3" t="s">
        <v>671</v>
      </c>
      <c r="L47" s="3" t="inlineStr">
        <is>
          <t xml:space="preserve">Ingénierie généraliste ; Génie des procédés ; Énergie ; Matériaux ; Transitions ; Concours G2E ; Institut Mines-Télécom ; Albi</t>
        </is>
      </c>
    </row>
    <row r="48" spans="1:12" ht="68" customHeight="68">
      <c r="A48" s="12" t="s">
        <v>672</v>
      </c>
      <c r="B48" s="10" t="s">
        <v>545</v>
      </c>
      <c r="C48" s="10"/>
      <c r="D48" s="10" t="s">
        <v>545</v>
      </c>
      <c r="E48" s="10"/>
      <c r="F48" s="10" t="s">
        <v>1</v>
      </c>
      <c r="G48" s="3" t="inlineStr">
        <is>
          <t xml:space="preserve">IMT Mines Alès est une école d’ingénieurs généraliste de l’Institut Mines-Télécom, avec des domaines forts en risques, environnement et génie civil. Elle recrute les élèves de BCPST via le concours G2E (6 places en 2026).</t>
        </is>
      </c>
      <c r="H48" s="10" t="s">
        <v>673</v>
      </c>
      <c r="I48" s="5" t="s">
        <v>674</v>
      </c>
      <c r="J48" s="12" t="s">
        <v>675</v>
      </c>
      <c r="K48" s="3" t="s">
        <v>676</v>
      </c>
      <c r="L48" s="3" t="inlineStr">
        <is>
          <t xml:space="preserve">Ingénierie généraliste ; Risques ; Environnement ; Génie civil ; Concours G2E ; Institut Mines-Télécom ; Alès</t>
        </is>
      </c>
    </row>
    <row r="49" spans="1:12" ht="83" customHeight="83">
      <c r="A49" s="12" t="s">
        <v>677</v>
      </c>
      <c r="B49" s="10" t="s">
        <v>545</v>
      </c>
      <c r="C49" s="10"/>
      <c r="D49" s="10" t="s">
        <v>545</v>
      </c>
      <c r="E49" s="10"/>
      <c r="F49" s="10" t="s">
        <v>1</v>
      </c>
      <c r="G49" s="3" t="inlineStr">
        <is>
          <t xml:space="preserve">IMT Nord Europe est une école d’ingénieurs de l’Institut Mines-Télécom, implantée à Douai et à Lille, avec des domaines forts en énergie, environnement et numérique. Elle recrute les élèves de BCPST via le concours G2E (4 places en 2026).</t>
        </is>
      </c>
      <c r="H49" s="10" t="s">
        <v>678</v>
      </c>
      <c r="I49" s="5" t="s">
        <v>679</v>
      </c>
      <c r="J49" s="12" t="s">
        <v>680</v>
      </c>
      <c r="K49" s="3" t="s">
        <v>681</v>
      </c>
      <c r="L49" s="3" t="inlineStr">
        <is>
          <t xml:space="preserve">Ingénierie généraliste ; Énergie ; Environnement ; Numérique ; Concours G2E ; Institut Mines-Télécom ; Douai ; Lille</t>
        </is>
      </c>
    </row>
    <row r="50" spans="1:12" ht="99" customHeight="99">
      <c r="A50" s="12" t="s">
        <v>682</v>
      </c>
      <c r="B50" s="12" t="s">
        <v>553</v>
      </c>
      <c r="C50" s="12" t="s">
        <v>553</v>
      </c>
      <c r="D50" s="3" t="s">
        <v>493</v>
      </c>
      <c r="E50" s="12" t="s">
        <v>553</v>
      </c>
      <c r="F50" s="10" t="s">
        <v>494</v>
      </c>
      <c r="G50" s="3" t="inlineStr">
        <is>
          <t xml:space="preserve">Polytech Annecy-Chambéry, école d’ingénieurs de l’Université Savoie Mont Blanc (réseau Polytech), propose cinq spécialités d’ingénieur, dont la spécialité Bâtiment (Bâtiment – Écoconstruction – Énergie) et la mécanique. Les études comprennent environ 39 semaines de stage sur l’ensemble du cursus.</t>
        </is>
      </c>
      <c r="H50" s="12" t="s">
        <v>683</v>
      </c>
      <c r="I50" s="10" t="s">
        <v>684</v>
      </c>
      <c r="J50" s="12" t="s">
        <v>685</v>
      </c>
      <c r="K50" s="3" t="s">
        <v>686</v>
      </c>
      <c r="L50" s="3" t="inlineStr">
        <is>
          <t xml:space="preserve">Bâtiment ; Écoconstruction ; Énergie ; Environnement ; Mécanique ; Stages ; Annecy ; Chambéry</t>
        </is>
      </c>
    </row>
    <row r="51" spans="1:12" ht="114" customHeight="114">
      <c r="A51" s="12" t="s">
        <v>687</v>
      </c>
      <c r="B51" s="12" t="s">
        <v>553</v>
      </c>
      <c r="C51" s="12" t="s">
        <v>553</v>
      </c>
      <c r="D51" s="3" t="s">
        <v>493</v>
      </c>
      <c r="E51" s="12" t="s">
        <v>553</v>
      </c>
      <c r="F51" s="12" t="s">
        <v>494</v>
      </c>
      <c r="G51" s="3" t="inlineStr">
        <is>
          <t xml:space="preserve">Polytech Sorbonne est l’école d’ingénieurs de Sorbonne Université (réseau Polytech), à Paris. Elle propose notamment les spécialités agroalimentaire, matériaux et sciences de la Terre (aménagement, risques, géo-énergies), accessibles aux élèves de BCPST via le concours Polytech BCPST, ainsi que l’électronique et informatique, la robotique, les mathématiques appliquées et le génie mécanique.</t>
        </is>
      </c>
      <c r="H51" s="12" t="s">
        <v>495</v>
      </c>
      <c r="I51" s="12" t="s">
        <v>688</v>
      </c>
      <c r="J51" s="12" t="s">
        <v>689</v>
      </c>
      <c r="K51" s="3" t="s">
        <v>690</v>
      </c>
      <c r="L51" s="3" t="inlineStr">
        <is>
          <t xml:space="preserve">Agroalimentaire ; Matériaux ; Sciences de la Terre ; Aménagement ; Risques ; Géo-énergies ; Robotique ; Électronique et informatique ; Concours Polytech BCPST ; Paris</t>
        </is>
      </c>
    </row>
    <row r="52" spans="1:12" ht="161" customHeight="161">
      <c r="A52" s="12" t="s">
        <v>691</v>
      </c>
      <c r="B52" s="12" t="s">
        <v>553</v>
      </c>
      <c r="C52" s="12" t="s">
        <v>553</v>
      </c>
      <c r="D52" s="3" t="s">
        <v>493</v>
      </c>
      <c r="E52" s="12" t="s">
        <v>553</v>
      </c>
      <c r="F52" s="12" t="s">
        <v>494</v>
      </c>
      <c r="G52" s="3" t="inlineStr">
        <is>
          <t xml:space="preserve">Polytech Orléans est l’école d’ingénieurs de l’Université d’Orléans (réseau Polytech). Elle propose notamment les spécialités génie civil et environnement (parcours constructions durables, géo-environnement et villes durables, travaux publics et aménagement), énergétique, génie physique et systèmes embarqués, matériaux et mécatronique, et génie industriel (site de Chartres). Pour les élèves de BCPST, le concours Polytech BCPST ouvre notamment le génie civil et géo-environnement et le génie industriel pour la cosmétique, la pharmacie et l’agroalimentaire.</t>
        </is>
      </c>
      <c r="H52" s="12" t="s">
        <v>594</v>
      </c>
      <c r="I52" s="5" t="s">
        <v>692</v>
      </c>
      <c r="J52" s="12" t="s">
        <v>693</v>
      </c>
      <c r="K52" s="3" t="s">
        <v>694</v>
      </c>
      <c r="L52" s="3" t="inlineStr">
        <is>
          <t xml:space="preserve">Génie civil et environnement ; Constructions durables ; Géo-environnement ; Villes durables ; Travaux publics ; Énergétique ; Matériaux et mécatronique ; Génie industriel ; Cosmétique ; Pharmacie ; Agroalimentaire ; Concours Polytech BCPST</t>
        </is>
      </c>
    </row>
    <row r="53" spans="1:12" ht="99" customHeight="99">
      <c r="A53" s="12" t="s">
        <v>695</v>
      </c>
      <c r="B53" s="10" t="s">
        <v>545</v>
      </c>
      <c r="C53" s="10"/>
      <c r="D53" s="10" t="s">
        <v>545</v>
      </c>
      <c r="E53" s="10"/>
      <c r="F53" s="10" t="s">
        <v>1</v>
      </c>
      <c r="G53" s="100" t="inlineStr">
        <is>
          <t xml:space="preserve">L’ENTPE (École nationale des travaux publics de l’État), à Vaulx-en-Velin près de Lyon, se présente comme l’école de l’aménagement durable des territoires : génie civil, bâtiment, transports, énergie et environnement. Elle recrute les élèves de BCPST via le concours G2E, avec un statut civil ou fonctionnaire.</t>
        </is>
      </c>
      <c r="H53" s="10" t="s">
        <v>540</v>
      </c>
      <c r="I53" s="12" t="s">
        <v>696</v>
      </c>
      <c r="J53" s="12" t="s">
        <v>697</v>
      </c>
      <c r="K53" s="3" t="s">
        <v>698</v>
      </c>
      <c r="L53" s="3" t="inlineStr">
        <is>
          <t xml:space="preserve">Aménagement durable des territoires ; Génie civil ; Bâtiment ; Transports ; Énergie ; Environnement ; Concours G2E ; Élèves fonctionnaires ; Vaulx-en-Velin</t>
        </is>
      </c>
    </row>
    <row r="54" spans="1:12" ht="99" customHeight="99">
      <c r="A54" s="12" t="s">
        <v>699</v>
      </c>
      <c r="B54" s="10" t="s">
        <v>545</v>
      </c>
      <c r="C54" s="10"/>
      <c r="D54" s="10" t="s">
        <v>545</v>
      </c>
      <c r="E54" s="10"/>
      <c r="F54" s="10" t="s">
        <v>1</v>
      </c>
      <c r="G54" s="100" t="inlineStr">
        <is>
          <t xml:space="preserve">L’EIVP (École des ingénieurs de la Ville de Paris) forme des ingénieurs en génie urbain : conception et gestion de la ville, infrastructures, eau, génie civil. Elle recrute les élèves de BCPST via le concours G2E (statut civil ou fonctionnaire) et débouche notamment sur des carrières dans les collectivités et les bureaux d’études.</t>
        </is>
      </c>
      <c r="H54" s="10" t="s">
        <v>495</v>
      </c>
      <c r="I54" s="5" t="s">
        <v>700</v>
      </c>
      <c r="J54" s="12" t="s">
        <v>701</v>
      </c>
      <c r="K54" s="3" t="s">
        <v>702</v>
      </c>
      <c r="L54" s="3" t="inlineStr">
        <is>
          <t xml:space="preserve">Génie urbain ; Ville ; Infrastructures ; Eau ; Génie civil ; Collectivités ; Bureaux d’études ; Concours G2E ; Paris</t>
        </is>
      </c>
    </row>
    <row r="55" spans="1:12" ht="130" customHeight="130">
      <c r="A55" s="12" t="s">
        <v>703</v>
      </c>
      <c r="B55" s="10" t="s">
        <v>545</v>
      </c>
      <c r="C55" s="10"/>
      <c r="D55" s="10" t="s">
        <v>545</v>
      </c>
      <c r="E55" s="10"/>
      <c r="F55" s="10" t="s">
        <v>1</v>
      </c>
      <c r="G55" s="3" t="inlineStr">
        <is>
          <t xml:space="preserve">L’EOST (École et observatoire des sciences de la Terre), à Strasbourg, est la seule école d’ingénieurs géophysiciens de France. Elle recrute les élèves de BCPST via le concours G2E (13 places en 2026). Les parcours de 3e année comprennent notamment la géophysique appliquée à la géotechnique, à l’eau et à l’environnement, et les géosciences pour la transition énergétique ; les débouchés vont de l’exploration-production à la géotechnique.</t>
        </is>
      </c>
      <c r="H55" s="10" t="s">
        <v>546</v>
      </c>
      <c r="I55" s="3" t="s">
        <v>704</v>
      </c>
      <c r="J55" s="12" t="s">
        <v>705</v>
      </c>
      <c r="K55" s="3" t="s">
        <v>706</v>
      </c>
      <c r="L55" s="3" t="inlineStr">
        <is>
          <t xml:space="preserve">Géophysique ; Sciences de la Terre ; Géotechnique ; Eau ; Environnement ; Transition énergétique ; Exploration-production ; Risques naturels ; Concours G2E ; Strasbourg</t>
        </is>
      </c>
    </row>
    <row r="56" spans="1:12" ht="145" customHeight="145">
      <c r="A56" s="12" t="s">
        <v>250</v>
      </c>
      <c r="B56" s="12" t="s">
        <v>545</v>
      </c>
      <c r="C56" s="12"/>
      <c r="D56" s="10" t="s">
        <v>545</v>
      </c>
      <c r="E56" s="12"/>
      <c r="F56" s="10" t="s">
        <v>1</v>
      </c>
      <c r="G56" s="3" t="inlineStr">
        <is>
          <t xml:space="preserve">L’ENSG (École nationale supérieure de géologie), à Vandœuvre-lès-Nancy, est une école d’ingénieurs de l’Université de Lorraine créée en 1908, spécialisée en géosciences. Les parcours de 2e année couvrent les eaux et l’environnement, la géologie des énergies, la géologie numérique et les sciences des données, la géotechnique-génie civil, les matières premières minérales, et les réservoirs et stockages d’énergie. Elle recrute les élèves de BCPST via le concours G2E.</t>
        </is>
      </c>
      <c r="H56" s="12" t="s">
        <v>507</v>
      </c>
      <c r="I56" s="5" t="s">
        <v>707</v>
      </c>
      <c r="J56" s="12" t="s">
        <v>708</v>
      </c>
      <c r="K56" s="3" t="s">
        <v>709</v>
      </c>
      <c r="L56" s="3" t="inlineStr">
        <is>
          <t xml:space="preserve">Géologie ; Eaux et environnement ; Géologie des énergies ; Géologie numérique ; Sciences des données ; Géotechnique ; Matières premières minérales ; Stockage d’énergie ; Concours G2E ; Nancy</t>
        </is>
      </c>
    </row>
    <row r="57" spans="1:12" ht="68" customHeight="68">
      <c r="A57" s="12" t="s">
        <v>710</v>
      </c>
      <c r="B57" s="76" t="s">
        <v>711</v>
      </c>
      <c r="C57" s="23"/>
      <c r="D57" s="10" t="s">
        <v>617</v>
      </c>
      <c r="E57" s="10"/>
      <c r="F57" s="12" t="s">
        <v>1</v>
      </c>
      <c r="G57" s="3" t="inlineStr">
        <is>
          <t xml:space="preserve">L’École polytechnique (Palaiseau) est une grande école d’ingénieurs pluridisciplinaire à très forte dimension scientifique. Les élèves de BCPST peuvent l’intégrer via le concours X-BIO (13 places).</t>
        </is>
      </c>
      <c r="H57" s="10" t="s">
        <v>712</v>
      </c>
      <c r="I57" s="13" t="s">
        <v>713</v>
      </c>
      <c r="J57" s="3" t="s">
        <v>714</v>
      </c>
      <c r="K57" s="3" t="s">
        <v>715</v>
      </c>
      <c r="L57" s="3" t="inlineStr">
        <is>
          <t xml:space="preserve">Ingénierie généraliste ; Sciences fondamentales ; Biologie ; Recherche ; Concours X-BIO ; Palaiseau</t>
        </is>
      </c>
    </row>
    <row r="58" spans="1:12" ht="130" customHeight="130">
      <c r="A58" s="12" t="s">
        <v>716</v>
      </c>
      <c r="B58" s="18" t="s">
        <v>717</v>
      </c>
      <c r="C58" s="18"/>
      <c r="D58" s="10" t="s">
        <v>617</v>
      </c>
      <c r="E58" s="10"/>
      <c r="F58" s="10" t="s">
        <v>1</v>
      </c>
      <c r="G58" s="3" t="inlineStr">
        <is>
          <t xml:space="preserve">Centrale Lyon, à Écully, est une école d’ingénieurs généraliste du Groupe Centrale, orientée vers l’industrie. Elle propose de nombreux doubles diplômes : ingénieur-chercheur avec l’ENS de Lyon, ingénieur-médecin, ingénieur-manager (emlyon), architecte-ingénieur (ENSAL), ingénieur-économètre (ENSAE). Elle ouvre des places aux élèves de BCPST via la banque ENS-Ponts-Mines Paris-Écoles Centrale (environ 5 places).</t>
        </is>
      </c>
      <c r="H58" s="12" t="s">
        <v>718</v>
      </c>
      <c r="I58" s="5" t="s">
        <v>719</v>
      </c>
      <c r="J58" s="12" t="s">
        <v>720</v>
      </c>
      <c r="K58" s="5" t="s">
        <v>721</v>
      </c>
      <c r="L58" s="3" t="inlineStr">
        <is>
          <t xml:space="preserve">Ingénierie généraliste ; Industrie ; Double diplôme ; Ingénieur-chercheur ; Ingénieur-médecin ; Ingénieur-manager ; Architecte-ingénieur ; Concours BCPST ; Écully</t>
        </is>
      </c>
    </row>
    <row r="59" spans="1:12" ht="130" customHeight="130">
      <c r="A59" s="12" t="s">
        <v>722</v>
      </c>
      <c r="B59" s="18" t="s">
        <v>717</v>
      </c>
      <c r="C59" s="18"/>
      <c r="D59" s="10" t="s">
        <v>617</v>
      </c>
      <c r="E59" s="10"/>
      <c r="F59" s="12" t="s">
        <v>1</v>
      </c>
      <c r="G59" s="100" t="inlineStr">
        <is>
          <t xml:space="preserve">Centrale Nantes est une école d’ingénieurs généraliste du Groupe Centrale, orientée vers l’industrie et le domaine maritime. Elle propose des doubles diplômes (ingénieur-architecte avec l’ENSA Nantes, ingénieur-manager avec Audencia, ingénieur-pharmacien avec Nantes Université) et l’apprentissage. Elle ouvre des places aux élèves de BCPST via la banque ENS-Ponts-Mines Paris-Écoles Centrale (environ 5 places).</t>
        </is>
      </c>
      <c r="H59" s="10" t="s">
        <v>499</v>
      </c>
      <c r="I59" s="5" t="s">
        <v>723</v>
      </c>
      <c r="J59" s="16" t="s">
        <v>724</v>
      </c>
      <c r="K59" s="3" t="s">
        <v>725</v>
      </c>
      <c r="L59" s="3" t="inlineStr">
        <is>
          <t xml:space="preserve">Ingénierie généraliste ; Industrie ; Maritime ; Double diplôme ; Ingénieur-architecte ; Ingénieur-pharmacien ; Apprentissage ; Concours BCPST ; Nantes</t>
        </is>
      </c>
    </row>
    <row r="60" spans="1:12" ht="83" customHeight="83">
      <c r="A60" s="12" t="s">
        <v>726</v>
      </c>
      <c r="B60" s="18" t="s">
        <v>717</v>
      </c>
      <c r="C60" s="18"/>
      <c r="D60" s="10" t="s">
        <v>617</v>
      </c>
      <c r="E60" s="10"/>
      <c r="F60" s="12" t="s">
        <v>1</v>
      </c>
      <c r="G60" s="3" t="inlineStr">
        <is>
          <t xml:space="preserve">Centrale Méditerranée, à Marseille, est une école d’ingénieurs généraliste du Groupe Centrale, orientée vers l’industrie. Elle ouvre des places aux élèves de BCPST via la banque ENS-Ponts-Mines Paris-Écoles Centrale (environ 5 places).</t>
        </is>
      </c>
      <c r="H60" s="10" t="s">
        <v>646</v>
      </c>
      <c r="I60" s="5" t="s">
        <v>727</v>
      </c>
      <c r="J60" s="12" t="s">
        <v>728</v>
      </c>
      <c r="K60" s="3" t="s">
        <v>729</v>
      </c>
      <c r="L60" s="3" t="inlineStr">
        <is>
          <t xml:space="preserve">Ingénierie généraliste ; Industrie ; Concours BCPST ; Marseille ; Groupe Centrale</t>
        </is>
      </c>
    </row>
    <row r="61" spans="1:12" ht="68" customHeight="68">
      <c r="A61" s="3" t="s">
        <v>730</v>
      </c>
      <c r="B61" s="10" t="s">
        <v>731</v>
      </c>
      <c r="C61" s="10"/>
      <c r="D61" s="10" t="s">
        <v>617</v>
      </c>
      <c r="E61" s="10"/>
      <c r="F61" s="10" t="s">
        <v>1</v>
      </c>
      <c r="G61" s="3" t="inlineStr">
        <is>
          <t xml:space="preserve">Mines Paris – PSL est une grande école d’ingénieurs généraliste, qui forme les ingénieurs civils des Mines. Les élèves de BCPST peuvent l’intégrer via la banque ENS-Ponts-Mines Paris-Écoles Centrale (environ 4 places).</t>
        </is>
      </c>
      <c r="H61" s="10" t="s">
        <v>495</v>
      </c>
      <c r="I61" s="3" t="s">
        <v>732</v>
      </c>
      <c r="J61" s="10" t="s">
        <v>733</v>
      </c>
      <c r="K61" s="3" t="s">
        <v>734</v>
      </c>
      <c r="L61" s="3" t="inlineStr">
        <is>
          <t xml:space="preserve">Ingénierie généraliste ; Ingénieur civil des Mines ; PSL ; Concours BCPST ; Paris</t>
        </is>
      </c>
    </row>
    <row r="62" spans="1:12" ht="99" customHeight="99">
      <c r="A62" s="10" t="s">
        <v>735</v>
      </c>
      <c r="B62" s="10" t="s">
        <v>731</v>
      </c>
      <c r="C62" s="10"/>
      <c r="D62" s="10" t="s">
        <v>617</v>
      </c>
      <c r="E62" s="10"/>
      <c r="F62" s="10" t="s">
        <v>1</v>
      </c>
      <c r="G62" s="3" t="inlineStr">
        <is>
          <t xml:space="preserve">L’École des Ponts ParisTech (École nationale des ponts et chaussées), à Champs-sur-Marne, forme des ingénieurs généralistes (génie civil, ville, transports, environnement, ingénierie mathématique et informatique, génie industriel). Les élèves de BCPST peuvent l’intégrer via la banque ENS-Ponts-Mines Paris-Écoles Centrale (environ 4 places).</t>
        </is>
      </c>
      <c r="H62" s="12" t="s">
        <v>736</v>
      </c>
      <c r="I62" s="3" t="s">
        <v>737</v>
      </c>
      <c r="J62" s="10" t="s">
        <v>738</v>
      </c>
      <c r="K62" s="3" t="s">
        <v>739</v>
      </c>
      <c r="L62" s="3" t="inlineStr">
        <is>
          <t xml:space="preserve">Génie civil ; Ville ; Transports ; Environnement ; Ingénierie mathématique ; Génie industriel ; Ingénierie généraliste ; Concours BCPST ; Champs-sur-Marne</t>
        </is>
      </c>
    </row>
    <row r="63" spans="1:12" ht="114" customHeight="114">
      <c r="A63" s="17" t="s">
        <v>740</v>
      </c>
      <c r="B63" s="3" t="s">
        <v>741</v>
      </c>
      <c r="D63" s="3" t="s">
        <v>493</v>
      </c>
      <c r="F63" s="10" t="s">
        <v>1</v>
      </c>
      <c r="G63" s="100" t="inlineStr">
        <is>
          <t xml:space="preserve">Bordeaux INP est un réseau de grandes écoles d’ingénieurs. Les élèves de BCPST s’orientent notamment vers l’ENSTBB (biotechnologie), l’ENSMAC (ex-ENSCBP : agroalimentaire-génie biologique, chimie-génie physique, accessible via le concours PC BIO) ou l’ENSEGID (géoressources, environnement et ingénierie du développement durable, accessible via le concours G2E).</t>
        </is>
      </c>
      <c r="H63" s="18" t="s">
        <v>503</v>
      </c>
      <c r="I63" s="5" t="s">
        <v>742</v>
      </c>
      <c r="J63" s="18" t="s">
        <v>743</v>
      </c>
      <c r="K63" s="5" t="s">
        <v>744</v>
      </c>
      <c r="L63" s="3" t="inlineStr">
        <is>
          <t xml:space="preserve">Réseau d’écoles ; Biotechnologie ; Agroalimentaire ; Génie biologique ; Chimie ; Génie physique ; Géoressources ; Hydrogéologie ; Environnement ; Concours PC BIO ; Concours G2E</t>
        </is>
      </c>
    </row>
    <row r="64" spans="1:12" ht="68" customHeight="68">
      <c r="A64" s="18" t="s">
        <v>745</v>
      </c>
      <c r="B64" s="3" t="s">
        <v>741</v>
      </c>
      <c r="D64" s="3" t="s">
        <v>493</v>
      </c>
      <c r="F64" s="10" t="s">
        <v>1</v>
      </c>
      <c r="G64" s="100" t="inlineStr">
        <is>
          <t xml:space="preserve">Chimie ParisTech – PSL (École nationale supérieure de chimie de Paris) est une école d’ingénieurs spécialisée en chimie. Les élèves de BCPST peuvent l’intégrer via le concours PC BIO, qui ouvre un petit nombre de places.</t>
        </is>
      </c>
      <c r="H64" s="18" t="s">
        <v>495</v>
      </c>
      <c r="I64" s="5" t="s">
        <v>746</v>
      </c>
      <c r="J64" s="18" t="s">
        <v>747</v>
      </c>
      <c r="K64" s="3" t="s">
        <v>748</v>
      </c>
      <c r="L64" s="3" t="inlineStr">
        <is>
          <t xml:space="preserve">Chimie ; Ingénierie chimique ; Concours PC BIO ; PSL ; Paris</t>
        </is>
      </c>
    </row>
    <row r="65" spans="1:13" ht="83" customHeight="83">
      <c r="A65" s="18" t="s">
        <v>749</v>
      </c>
      <c r="B65" s="3" t="s">
        <v>741</v>
      </c>
      <c r="D65" s="3" t="s">
        <v>493</v>
      </c>
      <c r="F65" s="10" t="s">
        <v>1</v>
      </c>
      <c r="G65" s="101" t="inlineStr">
        <is>
          <t xml:space="preserve">L’ENSC Lille (École nationale supérieure de chimie de Lille), école d’ingénieurs spécialisée en chimie, fait partie de Centrale Lille Institut. Les élèves de BCPST peuvent l’intégrer via le concours PC BIO, qui ouvre un petit nombre de places.</t>
        </is>
      </c>
      <c r="H65" s="18" t="s">
        <v>613</v>
      </c>
      <c r="I65" s="3" t="s">
        <v>750</v>
      </c>
      <c r="J65" s="18" t="s">
        <v>751</v>
      </c>
      <c r="K65" s="3" t="s">
        <v>752</v>
      </c>
      <c r="L65" s="3" t="inlineStr">
        <is>
          <t xml:space="preserve">Chimie ; Ingénierie chimique ; Concours PC BIO ; Centrale Lille Institut ; Lille</t>
        </is>
      </c>
    </row>
    <row r="66" spans="1:13" ht="68" customHeight="68">
      <c r="A66" s="18" t="s">
        <v>753</v>
      </c>
      <c r="B66" s="3" t="s">
        <v>741</v>
      </c>
      <c r="D66" s="3" t="s">
        <v>493</v>
      </c>
      <c r="F66" s="10" t="s">
        <v>1</v>
      </c>
      <c r="G66" s="101" t="inlineStr">
        <is>
          <t xml:space="preserve">L’ENSCM (École nationale supérieure de chimie de Montpellier) est une école d’ingénieurs spécialisée en chimie. Les élèves de BCPST peuvent l’intégrer via le concours PC BIO, qui ouvre un petit nombre de places.</t>
        </is>
      </c>
      <c r="H66" s="18" t="s">
        <v>527</v>
      </c>
      <c r="I66" s="5" t="s">
        <v>754</v>
      </c>
      <c r="J66" s="18" t="s">
        <v>755</v>
      </c>
      <c r="K66" s="5" t="s">
        <v>756</v>
      </c>
      <c r="L66" s="3" t="inlineStr">
        <is>
          <t xml:space="preserve">Chimie ; Ingénierie chimique ; Concours PC BIO ; Montpellier</t>
        </is>
      </c>
    </row>
    <row r="67" spans="1:13" ht="83" customHeight="83">
      <c r="A67" s="18" t="s">
        <v>757</v>
      </c>
      <c r="B67" s="3" t="s">
        <v>741</v>
      </c>
      <c r="D67" s="3" t="s">
        <v>493</v>
      </c>
      <c r="F67" s="10" t="s">
        <v>1</v>
      </c>
      <c r="G67" s="101" t="inlineStr">
        <is>
          <t xml:space="preserve">L’ESPCI Paris – PSL est une école d’ingénieurs scientifique, qui allie physique, chimie et biologie avec une forte orientation recherche. Les élèves de BCPST peuvent l’intégrer via le concours PC BIO, qui ouvre un petit nombre de places.</t>
        </is>
      </c>
      <c r="H67" s="18" t="s">
        <v>495</v>
      </c>
      <c r="I67" s="5" t="s">
        <v>758</v>
      </c>
      <c r="J67" s="18" t="s">
        <v>759</v>
      </c>
      <c r="K67" s="3" t="s">
        <v>760</v>
      </c>
      <c r="L67" s="3" t="inlineStr">
        <is>
          <t xml:space="preserve">Physique ; Chimie ; Biologie ; Recherche ; Interdisciplinarité ; Concours PC BIO ; PSL ; Paris</t>
        </is>
      </c>
    </row>
    <row r="68" spans="1:13" ht="83" customHeight="83">
      <c r="A68" s="18" t="s">
        <v>761</v>
      </c>
      <c r="B68" s="3" t="s">
        <v>741</v>
      </c>
      <c r="D68" s="3" t="s">
        <v>493</v>
      </c>
      <c r="F68" s="10" t="s">
        <v>1</v>
      </c>
      <c r="G68" s="101" t="inlineStr">
        <is>
          <t xml:space="preserve">L’ENSIC (École nationale supérieure des industries chimiques), à Nancy, est une école d’ingénieurs de Lorraine INP spécialisée dans le génie des procédés et la chimie. Les élèves de BCPST peuvent l’intégrer via le concours PC BIO, qui ouvre un petit nombre de places.</t>
        </is>
      </c>
      <c r="H68" s="18" t="s">
        <v>762</v>
      </c>
      <c r="I68" s="5" t="s">
        <v>763</v>
      </c>
      <c r="J68" s="18" t="s">
        <v>764</v>
      </c>
      <c r="K68" s="3" t="s">
        <v>765</v>
      </c>
      <c r="L68" s="3" t="inlineStr">
        <is>
          <t xml:space="preserve">Génie des procédés ; Chimie ; Industries chimiques ; Concours PC BIO ; Lorraine INP ; Nancy</t>
        </is>
      </c>
    </row>
    <row r="69" spans="1:13" ht="130" customHeight="130">
      <c r="A69" s="28" t="s">
        <v>194</v>
      </c>
      <c r="B69" s="10" t="s">
        <v>553</v>
      </c>
      <c r="C69" s="10" t="s">
        <v>553</v>
      </c>
      <c r="D69" s="3" t="s">
        <v>493</v>
      </c>
      <c r="E69" s="10" t="s">
        <v>553</v>
      </c>
      <c r="F69" s="3" t="s">
        <v>494</v>
      </c>
      <c r="G69" s="3" t="inlineStr">
        <is>
          <t xml:space="preserve">Polytech Nantes est l’école d’ingénieurs de Nantes Université (réseau Polytech), avec des campus à Nantes, Saint-Nazaire et La Roche-sur-Yon. Les élèves de BCPST peuvent y intégrer la spécialité Génie des procédés et bioprocédés (site de Saint-Nazaire, 3 places via le concours Polytech BCPST), avec des options en 3e année : bio-industries, industries chimiques et écotechnologies, management de la qualité, de la sécurité et de l’environnement.</t>
        </is>
      </c>
      <c r="H69" s="28" t="s">
        <v>499</v>
      </c>
      <c r="I69" s="13" t="s">
        <v>766</v>
      </c>
      <c r="J69" s="29" t="s">
        <v>767</v>
      </c>
      <c r="K69" s="3" t="s">
        <v>768</v>
      </c>
      <c r="L69" s="3" t="inlineStr">
        <is>
          <t xml:space="preserve">Génie des procédés et bioprocédés ; Biotechnologies ; Bio-industries ; Industries chimiques ; Écotechnologies ; Environnement ; Qualité-sécurité-environnement ; Concours Polytech BCPST ; Saint-Nazaire</t>
        </is>
      </c>
    </row>
    <row r="70" spans="1:13" ht="409.6" customHeight="1">
      <c r="A70" s="28" t="s">
        <v>185</v>
      </c>
      <c r="B70" s="3" t="s">
        <v>492</v>
      </c>
      <c r="C70" s="3" t="s">
        <v>492</v>
      </c>
      <c r="D70" s="3" t="s">
        <v>493</v>
      </c>
      <c r="E70" s="3" t="s">
        <v>493</v>
      </c>
      <c r="F70" s="3" t="s">
        <v>494</v>
      </c>
      <c r="G70" s="3" t="s">
        <v>915</v>
      </c>
      <c r="H70" s="28" t="s">
        <v>561</v>
      </c>
      <c r="I70" s="3" t="s">
        <v>515</v>
      </c>
      <c r="J70" s="30" t="s">
        <v>769</v>
      </c>
      <c r="K70" s="3" t="s">
        <v>770</v>
      </c>
      <c r="L70" s="3" t="s">
        <v>914</v>
      </c>
      <c r="M70" t="s">
        <v>914</v>
      </c>
    </row>
    <row r="71" spans="1:13" ht="105">
      <c r="A71" s="3" t="s">
        <v>892</v>
      </c>
      <c r="B71" s="3" t="s">
        <v>492</v>
      </c>
      <c r="C71" s="3" t="s">
        <v>492</v>
      </c>
      <c r="D71" s="3" t="s">
        <v>493</v>
      </c>
      <c r="E71" s="3" t="s">
        <v>493</v>
      </c>
      <c r="F71" s="3" t="s">
        <v>494</v>
      </c>
      <c r="G71" s="102" t="s">
        <v>932</v>
      </c>
      <c r="H71" s="60" t="s">
        <v>561</v>
      </c>
      <c r="I71" s="5" t="s">
        <v>893</v>
      </c>
      <c r="J71" s="30" t="s">
        <v>894</v>
      </c>
      <c r="K71" s="36" t="s">
        <v>1144</v>
      </c>
      <c r="L71" t="s">
        <v>933</v>
      </c>
    </row>
    <row r="72" spans="1:13" ht="150">
      <c r="A72" s="3" t="s">
        <v>900</v>
      </c>
      <c r="B72" s="10" t="s">
        <v>553</v>
      </c>
      <c r="C72" s="10" t="s">
        <v>553</v>
      </c>
      <c r="D72" s="3" t="s">
        <v>493</v>
      </c>
      <c r="E72" s="10" t="s">
        <v>553</v>
      </c>
      <c r="F72" s="3" t="s">
        <v>494</v>
      </c>
      <c r="G72" s="103" t="s">
        <v>930</v>
      </c>
      <c r="H72" s="60" t="s">
        <v>503</v>
      </c>
      <c r="I72" s="5" t="s">
        <v>902</v>
      </c>
      <c r="J72" s="30" t="s">
        <v>901</v>
      </c>
      <c r="K72" s="68" t="s">
        <v>903</v>
      </c>
      <c r="L72" t="s">
        <v>931</v>
      </c>
    </row>
    <row r="73" spans="1:13" ht="75">
      <c r="A73" s="3" t="s">
        <v>947</v>
      </c>
      <c r="D73" s="3" t="s">
        <v>593</v>
      </c>
      <c r="E73" s="3" t="s">
        <v>593</v>
      </c>
      <c r="F73" s="3" t="s">
        <v>494</v>
      </c>
      <c r="G73" s="40" t="s">
        <v>948</v>
      </c>
      <c r="H73" s="77" t="s">
        <v>949</v>
      </c>
      <c r="I73" s="77" t="s">
        <v>950</v>
      </c>
      <c r="J73" s="77" t="s">
        <v>951</v>
      </c>
      <c r="K73" s="3" t="s">
        <v>953</v>
      </c>
      <c r="L73" s="78" t="s">
        <v>952</v>
      </c>
    </row>
    <row r="74" spans="1:13" ht="120">
      <c r="A74" s="82" t="s">
        <v>970</v>
      </c>
      <c r="D74" s="3" t="s">
        <v>593</v>
      </c>
      <c r="E74" s="3" t="s">
        <v>593</v>
      </c>
      <c r="F74" s="3" t="s">
        <v>494</v>
      </c>
      <c r="G74" s="101" t="s">
        <v>971</v>
      </c>
      <c r="H74" s="85" t="s">
        <v>577</v>
      </c>
      <c r="I74" s="36" t="s">
        <v>972</v>
      </c>
      <c r="J74" s="83" t="s">
        <v>973</v>
      </c>
      <c r="K74" s="3" t="s">
        <v>975</v>
      </c>
      <c r="L74" s="104" t="s">
        <v>974</v>
      </c>
    </row>
    <row r="75" spans="1:13" ht="135">
      <c r="A75" s="84" t="s">
        <v>980</v>
      </c>
      <c r="B75" s="3" t="s">
        <v>592</v>
      </c>
      <c r="C75" s="3" t="s">
        <v>592</v>
      </c>
      <c r="D75" s="3" t="s">
        <v>593</v>
      </c>
      <c r="E75" s="3" t="s">
        <v>593</v>
      </c>
      <c r="F75" s="3" t="s">
        <v>494</v>
      </c>
      <c r="G75" s="101" t="s">
        <v>981</v>
      </c>
      <c r="H75" s="86" t="s">
        <v>499</v>
      </c>
      <c r="I75" s="83" t="s">
        <v>982</v>
      </c>
      <c r="J75" s="83" t="s">
        <v>983</v>
      </c>
      <c r="K75" s="3" t="s">
        <v>984</v>
      </c>
      <c r="L75" s="104" t="s">
        <v>1295</v>
      </c>
    </row>
    <row r="76" spans="1:13" ht="150">
      <c r="A76" s="86" t="s">
        <v>986</v>
      </c>
      <c r="B76" s="3" t="s">
        <v>592</v>
      </c>
      <c r="C76" s="3" t="s">
        <v>592</v>
      </c>
      <c r="D76" s="3" t="s">
        <v>593</v>
      </c>
      <c r="E76" s="3" t="s">
        <v>593</v>
      </c>
      <c r="F76" s="3" t="s">
        <v>494</v>
      </c>
      <c r="G76" s="90" t="s">
        <v>1002</v>
      </c>
      <c r="H76" s="85" t="s">
        <v>988</v>
      </c>
      <c r="I76" s="36" t="s">
        <v>1004</v>
      </c>
      <c r="J76" s="85" t="s">
        <v>989</v>
      </c>
      <c r="K76" s="36" t="s">
        <v>990</v>
      </c>
      <c r="L76" s="87" t="s">
        <v>987</v>
      </c>
    </row>
    <row r="77" spans="1:13" ht="360">
      <c r="A77" s="89" t="s">
        <v>1001</v>
      </c>
      <c r="B77" s="3" t="s">
        <v>592</v>
      </c>
      <c r="C77" s="3" t="s">
        <v>592</v>
      </c>
      <c r="D77" s="3" t="s">
        <v>593</v>
      </c>
      <c r="E77" s="3" t="s">
        <v>593</v>
      </c>
      <c r="F77" s="3" t="s">
        <v>494</v>
      </c>
      <c r="G77" s="91" t="s">
        <v>1003</v>
      </c>
      <c r="H77" s="89" t="s">
        <v>568</v>
      </c>
      <c r="I77" s="36" t="s">
        <v>1005</v>
      </c>
      <c r="J77" s="85" t="s">
        <v>1007</v>
      </c>
      <c r="K77" s="36" t="s">
        <v>1000</v>
      </c>
      <c r="L77" s="3" t="s">
        <v>1006</v>
      </c>
    </row>
    <row r="78" spans="1:13" ht="135">
      <c r="A78" s="89" t="s">
        <v>1009</v>
      </c>
      <c r="B78" s="3" t="s">
        <v>592</v>
      </c>
      <c r="C78" s="3" t="s">
        <v>592</v>
      </c>
      <c r="D78" s="3" t="s">
        <v>593</v>
      </c>
      <c r="E78" s="3" t="s">
        <v>593</v>
      </c>
      <c r="F78" s="3" t="s">
        <v>494</v>
      </c>
      <c r="G78" s="91" t="s">
        <v>1010</v>
      </c>
      <c r="H78" s="88" t="s">
        <v>1011</v>
      </c>
      <c r="I78" s="88" t="s">
        <v>1012</v>
      </c>
      <c r="J78" s="88" t="s">
        <v>1013</v>
      </c>
      <c r="K78" s="3" t="s">
        <v>1015</v>
      </c>
      <c r="L78" s="88" t="s">
        <v>1014</v>
      </c>
    </row>
    <row r="79" spans="1:13" ht="120">
      <c r="A79" s="88" t="s">
        <v>1052</v>
      </c>
      <c r="B79" s="12" t="s">
        <v>553</v>
      </c>
      <c r="C79" s="12" t="s">
        <v>553</v>
      </c>
      <c r="D79" s="3" t="s">
        <v>493</v>
      </c>
      <c r="E79" s="12" t="s">
        <v>553</v>
      </c>
      <c r="F79" s="12" t="s">
        <v>494</v>
      </c>
      <c r="G79" s="91" t="s">
        <v>1053</v>
      </c>
      <c r="H79" s="88" t="s">
        <v>527</v>
      </c>
      <c r="I79" s="88" t="s">
        <v>1054</v>
      </c>
      <c r="J79" s="88" t="s">
        <v>1055</v>
      </c>
      <c r="K79" s="3" t="s">
        <v>1057</v>
      </c>
      <c r="L79" s="88" t="s">
        <v>1056</v>
      </c>
    </row>
    <row r="80" spans="1:13" ht="120">
      <c r="A80" s="89" t="s">
        <v>1080</v>
      </c>
      <c r="D80" s="3" t="s">
        <v>593</v>
      </c>
      <c r="E80" s="3" t="s">
        <v>593</v>
      </c>
      <c r="F80" s="12" t="s">
        <v>494</v>
      </c>
      <c r="G80" s="91" t="s">
        <v>1081</v>
      </c>
      <c r="H80" s="88" t="s">
        <v>561</v>
      </c>
      <c r="I80" s="88" t="s">
        <v>1082</v>
      </c>
      <c r="J80" s="88" t="s">
        <v>1083</v>
      </c>
      <c r="K80" s="3" t="s">
        <v>1085</v>
      </c>
      <c r="L80" s="88" t="s">
        <v>1084</v>
      </c>
    </row>
    <row r="81" spans="1:12" ht="150">
      <c r="A81" s="89" t="s">
        <v>1138</v>
      </c>
      <c r="B81" s="3" t="s">
        <v>592</v>
      </c>
      <c r="C81" s="3" t="s">
        <v>592</v>
      </c>
      <c r="D81" s="3" t="s">
        <v>593</v>
      </c>
      <c r="E81" s="3" t="s">
        <v>593</v>
      </c>
      <c r="F81" s="3" t="s">
        <v>494</v>
      </c>
      <c r="G81" s="91" t="s">
        <v>1139</v>
      </c>
      <c r="H81" s="88" t="s">
        <v>540</v>
      </c>
      <c r="I81" s="88" t="s">
        <v>1140</v>
      </c>
      <c r="J81" s="88" t="s">
        <v>1141</v>
      </c>
      <c r="K81" s="36" t="s">
        <v>1143</v>
      </c>
      <c r="L81" s="88" t="s">
        <v>1142</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2" t="s">
        <v>771</v>
      </c>
      <c r="B1" s="22"/>
      <c r="C1" s="22" t="s">
        <v>486</v>
      </c>
      <c r="D1" s="22"/>
      <c r="E1" s="22" t="s">
        <v>772</v>
      </c>
      <c r="F1" s="22" t="s">
        <v>773</v>
      </c>
      <c r="G1" s="1"/>
    </row>
    <row r="2" spans="1:7">
      <c r="A2" s="19" t="s">
        <v>492</v>
      </c>
      <c r="B2" s="19"/>
      <c r="C2" s="19" t="s">
        <v>8</v>
      </c>
      <c r="D2" s="19"/>
      <c r="E2" s="19" t="s">
        <v>493</v>
      </c>
      <c r="F2" s="19" t="s">
        <v>493</v>
      </c>
      <c r="G2" s="1"/>
    </row>
    <row r="3" spans="1:7">
      <c r="A3" s="19" t="s">
        <v>545</v>
      </c>
      <c r="B3" s="19"/>
      <c r="C3" s="19" t="s">
        <v>1</v>
      </c>
      <c r="D3" s="19"/>
      <c r="E3" s="19" t="s">
        <v>553</v>
      </c>
      <c r="F3" s="19" t="s">
        <v>545</v>
      </c>
      <c r="G3" s="1"/>
    </row>
    <row r="4" spans="1:7">
      <c r="A4" s="19" t="s">
        <v>553</v>
      </c>
      <c r="B4" s="19"/>
      <c r="C4" s="19" t="s">
        <v>494</v>
      </c>
      <c r="D4" s="19"/>
      <c r="E4" s="19" t="s">
        <v>617</v>
      </c>
      <c r="F4" s="19" t="s">
        <v>617</v>
      </c>
      <c r="G4" s="1"/>
    </row>
    <row r="5" spans="1:7">
      <c r="A5" s="19" t="s">
        <v>572</v>
      </c>
      <c r="B5" s="19"/>
      <c r="C5" s="19"/>
      <c r="D5" s="19"/>
      <c r="E5" s="19" t="s">
        <v>572</v>
      </c>
      <c r="F5" s="19" t="s">
        <v>572</v>
      </c>
      <c r="G5" s="1"/>
    </row>
    <row r="6" spans="1:7">
      <c r="A6" s="19" t="s">
        <v>592</v>
      </c>
      <c r="B6" s="19"/>
      <c r="C6" s="19"/>
      <c r="D6" s="19"/>
      <c r="E6" s="21" t="s">
        <v>593</v>
      </c>
      <c r="F6" s="19" t="s">
        <v>593</v>
      </c>
      <c r="G6" s="1"/>
    </row>
    <row r="7" spans="1:7">
      <c r="A7" s="19" t="s">
        <v>531</v>
      </c>
      <c r="B7" s="19"/>
      <c r="C7" s="19"/>
      <c r="D7" s="19"/>
      <c r="E7" s="19"/>
      <c r="F7" s="19"/>
      <c r="G7" s="1"/>
    </row>
    <row r="8" spans="1:7">
      <c r="A8" s="20" t="s">
        <v>617</v>
      </c>
      <c r="B8" s="19"/>
      <c r="C8" s="19"/>
      <c r="D8" s="19"/>
      <c r="E8" s="19"/>
      <c r="F8" s="19"/>
      <c r="G8" s="1"/>
    </row>
    <row r="9" spans="1:7">
      <c r="A9" s="21" t="s">
        <v>717</v>
      </c>
      <c r="B9" s="19"/>
      <c r="C9" s="19"/>
      <c r="D9" s="19"/>
      <c r="E9" s="19"/>
      <c r="F9" s="19"/>
      <c r="G9" s="1"/>
    </row>
    <row r="10" spans="1:7">
      <c r="A10" s="19" t="s">
        <v>731</v>
      </c>
      <c r="B10" s="19"/>
      <c r="C10" s="19"/>
      <c r="D10" s="19"/>
      <c r="E10" s="19"/>
      <c r="F10" s="19"/>
      <c r="G10" s="1"/>
    </row>
    <row r="11" spans="1:7">
      <c r="A11" s="21" t="s">
        <v>741</v>
      </c>
      <c r="B11" s="19"/>
      <c r="C11" s="19"/>
      <c r="D11" s="19"/>
      <c r="E11" s="19"/>
      <c r="F11" s="19"/>
      <c r="G11" s="1"/>
    </row>
    <row r="12" spans="1:7">
      <c r="A12" s="19" t="s">
        <v>711</v>
      </c>
      <c r="B12" s="19"/>
      <c r="C12" s="19"/>
      <c r="D12" s="19"/>
      <c r="E12" s="19"/>
      <c r="F12" s="19"/>
      <c r="G12" s="1"/>
    </row>
    <row r="13" spans="1:7">
      <c r="A13" s="19" t="s">
        <v>522</v>
      </c>
      <c r="B13" s="19"/>
      <c r="C13" s="19"/>
      <c r="D13" s="19"/>
      <c r="E13" s="19"/>
      <c r="F13" s="19"/>
      <c r="G13" s="1"/>
    </row>
    <row r="14" spans="1:7" ht="28.9" customHeight="1">
      <c r="A14" s="24" t="s">
        <v>658</v>
      </c>
      <c r="B14" s="19"/>
      <c r="C14" s="19"/>
      <c r="D14" s="19"/>
      <c r="E14" s="19"/>
      <c r="F14" s="19"/>
      <c r="G14" s="1"/>
    </row>
    <row r="15" spans="1:7">
      <c r="A15" s="19"/>
      <c r="B15" s="19"/>
      <c r="C15" s="19"/>
      <c r="D15" s="19"/>
      <c r="E15" s="19"/>
      <c r="F15" s="19"/>
      <c r="G15" s="1"/>
    </row>
    <row r="16" spans="1:7">
      <c r="A16" s="19"/>
      <c r="B16" s="19"/>
      <c r="C16" s="19"/>
      <c r="D16" s="19"/>
      <c r="E16" s="19"/>
      <c r="F16" s="19"/>
      <c r="G16" s="1"/>
    </row>
    <row r="17" spans="1:7">
      <c r="A17" s="19"/>
      <c r="B17" s="19"/>
      <c r="C17" s="19"/>
      <c r="D17" s="19"/>
      <c r="E17" s="19"/>
      <c r="F17" s="19"/>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774</v>
      </c>
    </row>
    <row r="14" spans="1:1">
      <c r="A14" s="37"/>
    </row>
    <row r="15" spans="1:1">
      <c r="A15" s="38" t="s">
        <v>775</v>
      </c>
    </row>
    <row r="16" spans="1:1">
      <c r="A16" s="38" t="s">
        <v>776</v>
      </c>
    </row>
    <row r="17" spans="1:17">
      <c r="A17" s="38" t="s">
        <v>777</v>
      </c>
    </row>
    <row r="18" spans="1:17">
      <c r="A18" s="38" t="s">
        <v>778</v>
      </c>
    </row>
    <row r="19" spans="1:17">
      <c r="A19" s="38" t="s">
        <v>779</v>
      </c>
    </row>
    <row r="20" spans="1:17">
      <c r="A20" s="38" t="s">
        <v>780</v>
      </c>
    </row>
    <row r="21" spans="1:17">
      <c r="A21" s="38" t="s">
        <v>781</v>
      </c>
    </row>
    <row r="22" spans="1:17">
      <c r="A22" s="38" t="s">
        <v>782</v>
      </c>
    </row>
    <row r="23" spans="1:17">
      <c r="A23" s="38" t="s">
        <v>12</v>
      </c>
    </row>
    <row r="24" spans="1:17">
      <c r="A24" s="38" t="s">
        <v>16</v>
      </c>
    </row>
    <row r="26" spans="1:17">
      <c r="A26" t="s">
        <v>17</v>
      </c>
    </row>
    <row r="27" spans="1:17">
      <c r="A27" t="s">
        <v>18</v>
      </c>
    </row>
    <row r="28" spans="1:17">
      <c r="A28" s="107" t="s">
        <v>783</v>
      </c>
      <c r="B28" s="106"/>
      <c r="C28" s="106"/>
      <c r="D28" s="106"/>
      <c r="E28" s="106"/>
      <c r="F28" s="106"/>
      <c r="G28" s="106"/>
      <c r="H28" s="106"/>
      <c r="I28" s="106"/>
      <c r="J28" s="106"/>
      <c r="K28" s="106"/>
      <c r="L28" s="106"/>
      <c r="M28" s="106"/>
      <c r="N28" s="106"/>
      <c r="O28" s="106"/>
      <c r="P28" s="106"/>
      <c r="Q28" s="106"/>
    </row>
    <row r="29" spans="1:17">
      <c r="A29" s="106"/>
      <c r="B29" s="106"/>
      <c r="C29" s="106"/>
      <c r="D29" s="106"/>
      <c r="E29" s="106"/>
      <c r="F29" s="106"/>
      <c r="G29" s="106"/>
      <c r="H29" s="106"/>
      <c r="I29" s="106"/>
      <c r="J29" s="106"/>
      <c r="K29" s="106"/>
      <c r="L29" s="106"/>
      <c r="M29" s="106"/>
      <c r="N29" s="106"/>
      <c r="O29" s="106"/>
      <c r="P29" s="106"/>
      <c r="Q29" s="106"/>
    </row>
    <row r="30" spans="1:17" ht="14.45" customHeight="1">
      <c r="A30" s="108" t="s">
        <v>20</v>
      </c>
      <c r="B30" s="105" t="s">
        <v>21</v>
      </c>
      <c r="C30" s="106"/>
      <c r="D30" s="106"/>
      <c r="E30" s="105" t="s">
        <v>22</v>
      </c>
      <c r="F30" s="106"/>
      <c r="G30" s="106"/>
      <c r="H30" s="105" t="s">
        <v>23</v>
      </c>
      <c r="I30" s="106"/>
      <c r="J30" s="106"/>
      <c r="K30" s="105" t="s">
        <v>24</v>
      </c>
      <c r="L30" s="106"/>
      <c r="M30" s="106"/>
      <c r="N30" s="106"/>
      <c r="O30" s="106"/>
      <c r="P30" s="105" t="s">
        <v>25</v>
      </c>
      <c r="Q30" s="105" t="s">
        <v>26</v>
      </c>
    </row>
    <row r="31" spans="1:17">
      <c r="A31" s="106"/>
      <c r="B31" s="40" t="s">
        <v>27</v>
      </c>
      <c r="C31" s="40" t="s">
        <v>28</v>
      </c>
      <c r="D31" s="41">
        <v>46058</v>
      </c>
      <c r="E31" s="40" t="s">
        <v>27</v>
      </c>
      <c r="F31" s="40" t="s">
        <v>28</v>
      </c>
      <c r="G31" s="41">
        <v>46058</v>
      </c>
      <c r="H31" s="40" t="s">
        <v>27</v>
      </c>
      <c r="I31" s="40" t="s">
        <v>28</v>
      </c>
      <c r="J31" s="41">
        <v>46058</v>
      </c>
      <c r="K31" s="40" t="s">
        <v>27</v>
      </c>
      <c r="L31" s="40" t="s">
        <v>28</v>
      </c>
      <c r="M31" s="41">
        <v>46058</v>
      </c>
      <c r="N31" s="40" t="s">
        <v>29</v>
      </c>
      <c r="O31" s="40" t="s">
        <v>30</v>
      </c>
      <c r="P31" s="106"/>
      <c r="Q31" s="106"/>
    </row>
    <row r="32" spans="1:17" ht="43.15" customHeight="1">
      <c r="A32" s="40" t="s">
        <v>784</v>
      </c>
      <c r="B32" s="40">
        <v>376</v>
      </c>
      <c r="C32" s="42">
        <v>0.57199999999999995</v>
      </c>
      <c r="D32" s="42">
        <v>9.8000000000000004E-2</v>
      </c>
      <c r="E32" s="40">
        <v>39</v>
      </c>
      <c r="F32" s="42">
        <v>0.53800000000000003</v>
      </c>
      <c r="G32" s="42">
        <v>5.0999999999999997E-2</v>
      </c>
      <c r="H32" s="40">
        <v>28</v>
      </c>
      <c r="I32" s="42">
        <v>0.60699999999999998</v>
      </c>
      <c r="J32" s="42">
        <v>3.5999999999999997E-2</v>
      </c>
      <c r="K32" s="40">
        <v>13</v>
      </c>
      <c r="L32" s="42">
        <v>0.53800000000000003</v>
      </c>
      <c r="M32" s="42">
        <v>7.6999999999999999E-2</v>
      </c>
      <c r="N32" s="40">
        <v>11</v>
      </c>
      <c r="O32" s="40">
        <v>12</v>
      </c>
      <c r="P32" s="40"/>
      <c r="Q32" s="40">
        <v>13</v>
      </c>
    </row>
    <row r="33" spans="1:17">
      <c r="A33" s="107" t="s">
        <v>617</v>
      </c>
      <c r="B33" s="106"/>
      <c r="C33" s="106"/>
      <c r="D33" s="106"/>
      <c r="E33" s="106"/>
      <c r="F33" s="106"/>
      <c r="G33" s="106"/>
      <c r="H33" s="106"/>
      <c r="I33" s="106"/>
      <c r="J33" s="106"/>
      <c r="K33" s="106"/>
      <c r="L33" s="106"/>
      <c r="M33" s="106"/>
      <c r="N33" s="106"/>
      <c r="O33" s="106"/>
      <c r="P33" s="106"/>
      <c r="Q33" s="106"/>
    </row>
    <row r="34" spans="1:17">
      <c r="A34" s="106"/>
      <c r="B34" s="106"/>
      <c r="C34" s="106"/>
      <c r="D34" s="106"/>
      <c r="E34" s="106"/>
      <c r="F34" s="106"/>
      <c r="G34" s="106"/>
      <c r="H34" s="106"/>
      <c r="I34" s="106"/>
      <c r="J34" s="106"/>
      <c r="K34" s="106"/>
      <c r="L34" s="106"/>
      <c r="M34" s="106"/>
      <c r="N34" s="106"/>
      <c r="O34" s="106"/>
      <c r="P34" s="106"/>
      <c r="Q34" s="106"/>
    </row>
    <row r="35" spans="1:17" ht="14.45" customHeight="1">
      <c r="A35" s="108" t="s">
        <v>20</v>
      </c>
      <c r="B35" s="105" t="s">
        <v>21</v>
      </c>
      <c r="C35" s="106"/>
      <c r="D35" s="106"/>
      <c r="E35" s="105" t="s">
        <v>22</v>
      </c>
      <c r="F35" s="106"/>
      <c r="G35" s="106"/>
      <c r="H35" s="105" t="s">
        <v>23</v>
      </c>
      <c r="I35" s="106"/>
      <c r="J35" s="106"/>
      <c r="K35" s="105" t="s">
        <v>24</v>
      </c>
      <c r="L35" s="106"/>
      <c r="M35" s="106"/>
      <c r="N35" s="106"/>
      <c r="O35" s="106"/>
      <c r="P35" s="105" t="s">
        <v>25</v>
      </c>
      <c r="Q35" s="105" t="s">
        <v>26</v>
      </c>
    </row>
    <row r="36" spans="1:17">
      <c r="A36" s="106"/>
      <c r="B36" s="40" t="s">
        <v>27</v>
      </c>
      <c r="C36" s="40" t="s">
        <v>28</v>
      </c>
      <c r="D36" s="41">
        <v>46058</v>
      </c>
      <c r="E36" s="40" t="s">
        <v>27</v>
      </c>
      <c r="F36" s="40" t="s">
        <v>28</v>
      </c>
      <c r="G36" s="41">
        <v>46058</v>
      </c>
      <c r="H36" s="40" t="s">
        <v>27</v>
      </c>
      <c r="I36" s="40" t="s">
        <v>28</v>
      </c>
      <c r="J36" s="41">
        <v>46058</v>
      </c>
      <c r="K36" s="40" t="s">
        <v>27</v>
      </c>
      <c r="L36" s="40" t="s">
        <v>28</v>
      </c>
      <c r="M36" s="41">
        <v>46058</v>
      </c>
      <c r="N36" s="40" t="s">
        <v>29</v>
      </c>
      <c r="O36" s="40" t="s">
        <v>30</v>
      </c>
      <c r="P36" s="106"/>
      <c r="Q36" s="106"/>
    </row>
    <row r="37" spans="1:17">
      <c r="A37" s="40" t="s">
        <v>653</v>
      </c>
      <c r="B37" s="40">
        <v>910</v>
      </c>
      <c r="C37" s="42">
        <v>0.55600000000000005</v>
      </c>
      <c r="D37" s="42">
        <v>0.11899999999999999</v>
      </c>
      <c r="E37" s="40">
        <v>81</v>
      </c>
      <c r="F37" s="42">
        <v>0.38300000000000001</v>
      </c>
      <c r="G37" s="42">
        <v>0.123</v>
      </c>
      <c r="H37" s="40">
        <v>41</v>
      </c>
      <c r="I37" s="42">
        <v>0.39</v>
      </c>
      <c r="J37" s="42">
        <v>0.122</v>
      </c>
      <c r="K37" s="40">
        <v>21</v>
      </c>
      <c r="L37" s="42">
        <v>0.33300000000000002</v>
      </c>
      <c r="M37" s="42">
        <v>9.5000000000000001E-2</v>
      </c>
      <c r="N37" s="40">
        <v>15</v>
      </c>
      <c r="O37" s="40">
        <v>14</v>
      </c>
      <c r="P37" s="40"/>
      <c r="Q37" s="40">
        <v>21</v>
      </c>
    </row>
    <row r="38" spans="1:17" ht="30">
      <c r="A38" s="40" t="s">
        <v>785</v>
      </c>
      <c r="B38" s="40">
        <v>919</v>
      </c>
      <c r="C38" s="42">
        <v>0.55500000000000005</v>
      </c>
      <c r="D38" s="42">
        <v>0.11600000000000001</v>
      </c>
      <c r="E38" s="40">
        <v>173</v>
      </c>
      <c r="F38" s="42">
        <v>0.434</v>
      </c>
      <c r="G38" s="42">
        <v>0.13900000000000001</v>
      </c>
      <c r="H38" s="40">
        <v>113</v>
      </c>
      <c r="I38" s="42">
        <v>0.434</v>
      </c>
      <c r="J38" s="42">
        <v>0.13300000000000001</v>
      </c>
      <c r="K38" s="40">
        <v>34</v>
      </c>
      <c r="L38" s="42">
        <v>0.47099999999999997</v>
      </c>
      <c r="M38" s="42">
        <v>0.14699999999999999</v>
      </c>
      <c r="N38" s="40">
        <v>61</v>
      </c>
      <c r="O38" s="40">
        <v>58</v>
      </c>
      <c r="P38" s="40"/>
      <c r="Q38" s="40">
        <v>34</v>
      </c>
    </row>
    <row r="39" spans="1:17" ht="28.9" customHeight="1">
      <c r="A39" s="40" t="s">
        <v>68</v>
      </c>
      <c r="B39" s="40">
        <v>871</v>
      </c>
      <c r="C39" s="42">
        <v>0.55500000000000005</v>
      </c>
      <c r="D39" s="42">
        <v>0.11899999999999999</v>
      </c>
      <c r="E39" s="40">
        <v>160</v>
      </c>
      <c r="F39" s="42">
        <v>0.45600000000000002</v>
      </c>
      <c r="G39" s="42">
        <v>0.13800000000000001</v>
      </c>
      <c r="H39" s="40">
        <v>90</v>
      </c>
      <c r="I39" s="42">
        <v>0.433</v>
      </c>
      <c r="J39" s="42">
        <v>0.122</v>
      </c>
      <c r="K39" s="40">
        <v>14</v>
      </c>
      <c r="L39" s="42">
        <v>0.5</v>
      </c>
      <c r="M39" s="42">
        <v>0.14299999999999999</v>
      </c>
      <c r="N39" s="40">
        <v>46</v>
      </c>
      <c r="O39" s="40">
        <v>43</v>
      </c>
      <c r="P39" s="40"/>
      <c r="Q39" s="40">
        <v>14</v>
      </c>
    </row>
    <row r="40" spans="1:17" ht="57.6" customHeight="1">
      <c r="A40" s="40" t="s">
        <v>786</v>
      </c>
      <c r="B40" s="40"/>
      <c r="C40" s="40"/>
      <c r="D40" s="40"/>
      <c r="E40" s="40"/>
      <c r="F40" s="40"/>
      <c r="G40" s="40"/>
      <c r="H40" s="40"/>
      <c r="I40" s="40"/>
      <c r="J40" s="40"/>
      <c r="K40" s="40">
        <v>1</v>
      </c>
      <c r="L40" s="42">
        <v>0</v>
      </c>
      <c r="M40" s="42">
        <v>0</v>
      </c>
      <c r="N40" s="40">
        <v>51</v>
      </c>
      <c r="O40" s="40">
        <v>51</v>
      </c>
      <c r="P40" s="40"/>
      <c r="Q40" s="40">
        <v>4</v>
      </c>
    </row>
    <row r="41" spans="1:17">
      <c r="A41" s="40" t="s">
        <v>787</v>
      </c>
      <c r="B41" s="40"/>
      <c r="C41" s="40"/>
      <c r="D41" s="40"/>
      <c r="E41" s="40"/>
      <c r="F41" s="40"/>
      <c r="G41" s="40"/>
      <c r="H41" s="40"/>
      <c r="I41" s="40"/>
      <c r="J41" s="40"/>
      <c r="K41" s="40">
        <v>5</v>
      </c>
      <c r="L41" s="42">
        <v>0.4</v>
      </c>
      <c r="M41" s="42">
        <v>0</v>
      </c>
      <c r="N41" s="40">
        <v>23</v>
      </c>
      <c r="O41" s="40">
        <v>22</v>
      </c>
      <c r="P41" s="40"/>
      <c r="Q41" s="40">
        <v>5</v>
      </c>
    </row>
    <row r="42" spans="1:17" ht="43.15" customHeight="1">
      <c r="A42" s="43" t="s">
        <v>788</v>
      </c>
      <c r="B42" s="43">
        <v>376</v>
      </c>
      <c r="C42" s="44">
        <v>0.52100000000000002</v>
      </c>
      <c r="D42" s="44">
        <v>0.11700000000000001</v>
      </c>
      <c r="E42" s="43">
        <v>65</v>
      </c>
      <c r="F42" s="44">
        <v>0.38500000000000001</v>
      </c>
      <c r="G42" s="44">
        <v>0.108</v>
      </c>
      <c r="H42" s="43">
        <v>56</v>
      </c>
      <c r="I42" s="44">
        <v>0.33900000000000002</v>
      </c>
      <c r="J42" s="44">
        <v>8.8999999999999996E-2</v>
      </c>
      <c r="K42" s="43">
        <v>6</v>
      </c>
      <c r="L42" s="43"/>
      <c r="M42" s="43"/>
      <c r="N42" s="40"/>
      <c r="O42" s="40"/>
      <c r="P42" s="40"/>
      <c r="Q42" s="43">
        <v>9</v>
      </c>
    </row>
    <row r="43" spans="1:17" ht="30">
      <c r="A43" s="40" t="s">
        <v>789</v>
      </c>
      <c r="B43" s="40"/>
      <c r="C43" s="40"/>
      <c r="D43" s="40"/>
      <c r="E43" s="40"/>
      <c r="F43" s="40"/>
      <c r="G43" s="40"/>
      <c r="H43" s="40"/>
      <c r="I43" s="40"/>
      <c r="J43" s="40"/>
      <c r="K43" s="40">
        <v>0</v>
      </c>
      <c r="L43" s="42">
        <v>0</v>
      </c>
      <c r="M43" s="42">
        <v>0</v>
      </c>
      <c r="N43" s="40">
        <v>0</v>
      </c>
      <c r="O43" s="40">
        <v>0</v>
      </c>
      <c r="P43" s="40"/>
      <c r="Q43" s="40">
        <v>5</v>
      </c>
    </row>
    <row r="44" spans="1:17" ht="28.9" customHeight="1">
      <c r="A44" s="40" t="s">
        <v>722</v>
      </c>
      <c r="B44" s="40"/>
      <c r="C44" s="40"/>
      <c r="D44" s="40"/>
      <c r="E44" s="40"/>
      <c r="F44" s="40"/>
      <c r="G44" s="40"/>
      <c r="H44" s="40"/>
      <c r="I44" s="40"/>
      <c r="J44" s="40"/>
      <c r="K44" s="40">
        <v>1</v>
      </c>
      <c r="L44" s="42">
        <v>1</v>
      </c>
      <c r="M44" s="42">
        <v>0</v>
      </c>
      <c r="N44" s="40">
        <v>52</v>
      </c>
      <c r="O44" s="40">
        <v>52</v>
      </c>
      <c r="P44" s="40"/>
      <c r="Q44" s="40">
        <v>5</v>
      </c>
    </row>
    <row r="45" spans="1:17" ht="28.9" customHeight="1">
      <c r="A45" s="40" t="s">
        <v>716</v>
      </c>
      <c r="B45" s="40"/>
      <c r="C45" s="40"/>
      <c r="D45" s="40"/>
      <c r="E45" s="40"/>
      <c r="F45" s="40"/>
      <c r="G45" s="40"/>
      <c r="H45" s="40"/>
      <c r="I45" s="40"/>
      <c r="J45" s="40"/>
      <c r="K45" s="40">
        <v>2</v>
      </c>
      <c r="L45" s="42">
        <v>0</v>
      </c>
      <c r="M45" s="42">
        <v>0.5</v>
      </c>
      <c r="N45" s="40">
        <v>44</v>
      </c>
      <c r="O45" s="40">
        <v>44</v>
      </c>
      <c r="P45" s="40"/>
      <c r="Q45" s="40">
        <v>5</v>
      </c>
    </row>
    <row r="46" spans="1:17" ht="43.15" customHeight="1">
      <c r="A46" s="40" t="s">
        <v>726</v>
      </c>
      <c r="B46" s="40"/>
      <c r="C46" s="40"/>
      <c r="D46" s="40"/>
      <c r="E46" s="40"/>
      <c r="F46" s="40"/>
      <c r="G46" s="40"/>
      <c r="H46" s="40"/>
      <c r="I46" s="40"/>
      <c r="J46" s="40"/>
      <c r="K46" s="40">
        <v>0</v>
      </c>
      <c r="L46" s="42">
        <v>0</v>
      </c>
      <c r="M46" s="42">
        <v>0</v>
      </c>
      <c r="N46" s="40">
        <v>0</v>
      </c>
      <c r="O46" s="40">
        <v>0</v>
      </c>
      <c r="P46" s="40"/>
      <c r="Q46" s="40">
        <v>5</v>
      </c>
    </row>
    <row r="47" spans="1:17" ht="57.6" customHeight="1">
      <c r="A47" s="43" t="s">
        <v>790</v>
      </c>
      <c r="B47" s="43">
        <v>373</v>
      </c>
      <c r="C47" s="44">
        <v>0.52500000000000002</v>
      </c>
      <c r="D47" s="44">
        <v>0.113</v>
      </c>
      <c r="E47" s="43">
        <v>65</v>
      </c>
      <c r="F47" s="44">
        <v>0.43099999999999999</v>
      </c>
      <c r="G47" s="44">
        <v>0.123</v>
      </c>
      <c r="H47" s="43">
        <v>54</v>
      </c>
      <c r="I47" s="44">
        <v>0.40699999999999997</v>
      </c>
      <c r="J47" s="44">
        <v>0.111</v>
      </c>
      <c r="K47" s="43">
        <v>3</v>
      </c>
      <c r="L47" s="43"/>
      <c r="M47" s="43"/>
      <c r="N47" s="40"/>
      <c r="O47" s="40"/>
      <c r="P47" s="40"/>
      <c r="Q47" s="43">
        <v>20</v>
      </c>
    </row>
    <row r="48" spans="1:17">
      <c r="A48" s="107" t="s">
        <v>791</v>
      </c>
      <c r="B48" s="106"/>
      <c r="C48" s="106"/>
      <c r="D48" s="106"/>
      <c r="E48" s="106"/>
      <c r="F48" s="106"/>
      <c r="G48" s="106"/>
      <c r="H48" s="106"/>
      <c r="I48" s="106"/>
      <c r="J48" s="106"/>
      <c r="K48" s="106"/>
      <c r="L48" s="106"/>
      <c r="M48" s="106"/>
      <c r="N48" s="106"/>
      <c r="O48" s="106"/>
      <c r="P48" s="106"/>
      <c r="Q48" s="106"/>
    </row>
    <row r="49" spans="1:17">
      <c r="A49" s="106"/>
      <c r="B49" s="106"/>
      <c r="C49" s="106"/>
      <c r="D49" s="106"/>
      <c r="E49" s="106"/>
      <c r="F49" s="106"/>
      <c r="G49" s="106"/>
      <c r="H49" s="106"/>
      <c r="I49" s="106"/>
      <c r="J49" s="106"/>
      <c r="K49" s="106"/>
      <c r="L49" s="106"/>
      <c r="M49" s="106"/>
      <c r="N49" s="106"/>
      <c r="O49" s="106"/>
      <c r="P49" s="106"/>
      <c r="Q49" s="106"/>
    </row>
    <row r="50" spans="1:17" ht="14.45" customHeight="1">
      <c r="A50" s="108" t="s">
        <v>20</v>
      </c>
      <c r="B50" s="105" t="s">
        <v>21</v>
      </c>
      <c r="C50" s="106"/>
      <c r="D50" s="106"/>
      <c r="E50" s="105" t="s">
        <v>22</v>
      </c>
      <c r="F50" s="106"/>
      <c r="G50" s="106"/>
      <c r="H50" s="105" t="s">
        <v>23</v>
      </c>
      <c r="I50" s="106"/>
      <c r="J50" s="106"/>
      <c r="K50" s="105" t="s">
        <v>24</v>
      </c>
      <c r="L50" s="106"/>
      <c r="M50" s="106"/>
      <c r="N50" s="106"/>
      <c r="O50" s="106"/>
      <c r="P50" s="105" t="s">
        <v>25</v>
      </c>
      <c r="Q50" s="105" t="s">
        <v>26</v>
      </c>
    </row>
    <row r="51" spans="1:17">
      <c r="A51" s="106"/>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6"/>
      <c r="Q51" s="106"/>
    </row>
    <row r="52" spans="1:17" ht="57.6" customHeight="1">
      <c r="A52" s="40" t="s">
        <v>792</v>
      </c>
      <c r="B52" s="40">
        <v>551</v>
      </c>
      <c r="C52" s="42">
        <v>0.58599999999999997</v>
      </c>
      <c r="D52" s="42">
        <v>0.10299999999999999</v>
      </c>
      <c r="E52" s="40">
        <v>303</v>
      </c>
      <c r="F52" s="42">
        <v>0.58699999999999997</v>
      </c>
      <c r="G52" s="42">
        <v>0.11899999999999999</v>
      </c>
      <c r="H52" s="40">
        <v>148</v>
      </c>
      <c r="I52" s="42">
        <v>0.60799999999999998</v>
      </c>
      <c r="J52" s="42">
        <v>0.122</v>
      </c>
      <c r="K52" s="40">
        <v>15</v>
      </c>
      <c r="L52" s="42">
        <v>0.53300000000000003</v>
      </c>
      <c r="M52" s="42">
        <v>0.13300000000000001</v>
      </c>
      <c r="N52" s="40">
        <v>50</v>
      </c>
      <c r="O52" s="40">
        <v>50</v>
      </c>
      <c r="P52" s="40"/>
      <c r="Q52" s="40">
        <v>15</v>
      </c>
    </row>
    <row r="53" spans="1:17">
      <c r="A53" s="107" t="s">
        <v>793</v>
      </c>
      <c r="B53" s="106"/>
      <c r="C53" s="106"/>
      <c r="D53" s="106"/>
      <c r="E53" s="106"/>
      <c r="F53" s="106"/>
      <c r="G53" s="106"/>
      <c r="H53" s="106"/>
      <c r="I53" s="106"/>
      <c r="J53" s="106"/>
      <c r="K53" s="106"/>
      <c r="L53" s="106"/>
      <c r="M53" s="106"/>
      <c r="N53" s="106"/>
      <c r="O53" s="106"/>
      <c r="P53" s="106"/>
      <c r="Q53" s="106"/>
    </row>
    <row r="54" spans="1:17">
      <c r="A54" s="106"/>
      <c r="B54" s="106"/>
      <c r="C54" s="106"/>
      <c r="D54" s="106"/>
      <c r="E54" s="106"/>
      <c r="F54" s="106"/>
      <c r="G54" s="106"/>
      <c r="H54" s="106"/>
      <c r="I54" s="106"/>
      <c r="J54" s="106"/>
      <c r="K54" s="106"/>
      <c r="L54" s="106"/>
      <c r="M54" s="106"/>
      <c r="N54" s="106"/>
      <c r="O54" s="106"/>
      <c r="P54" s="106"/>
      <c r="Q54" s="106"/>
    </row>
    <row r="55" spans="1:17" ht="14.45" customHeight="1">
      <c r="A55" s="108" t="s">
        <v>20</v>
      </c>
      <c r="B55" s="105" t="s">
        <v>21</v>
      </c>
      <c r="C55" s="106"/>
      <c r="D55" s="106"/>
      <c r="E55" s="105" t="s">
        <v>22</v>
      </c>
      <c r="F55" s="106"/>
      <c r="G55" s="106"/>
      <c r="H55" s="105" t="s">
        <v>23</v>
      </c>
      <c r="I55" s="106"/>
      <c r="J55" s="106"/>
      <c r="K55" s="105" t="s">
        <v>24</v>
      </c>
      <c r="L55" s="106"/>
      <c r="M55" s="106"/>
      <c r="N55" s="106"/>
      <c r="O55" s="106"/>
      <c r="P55" s="105" t="s">
        <v>25</v>
      </c>
      <c r="Q55" s="105" t="s">
        <v>26</v>
      </c>
    </row>
    <row r="56" spans="1:17">
      <c r="A56" s="106"/>
      <c r="B56" s="40" t="s">
        <v>27</v>
      </c>
      <c r="C56" s="40" t="s">
        <v>28</v>
      </c>
      <c r="D56" s="41">
        <v>46058</v>
      </c>
      <c r="E56" s="40" t="s">
        <v>27</v>
      </c>
      <c r="F56" s="40" t="s">
        <v>28</v>
      </c>
      <c r="G56" s="41">
        <v>46058</v>
      </c>
      <c r="H56" s="40" t="s">
        <v>27</v>
      </c>
      <c r="I56" s="40" t="s">
        <v>28</v>
      </c>
      <c r="J56" s="41">
        <v>46058</v>
      </c>
      <c r="K56" s="40" t="s">
        <v>27</v>
      </c>
      <c r="L56" s="40" t="s">
        <v>28</v>
      </c>
      <c r="M56" s="41">
        <v>46058</v>
      </c>
      <c r="N56" s="40" t="s">
        <v>29</v>
      </c>
      <c r="O56" s="40" t="s">
        <v>30</v>
      </c>
      <c r="P56" s="106"/>
      <c r="Q56" s="106"/>
    </row>
    <row r="57" spans="1:17" ht="28.9" customHeight="1">
      <c r="A57" s="40" t="s">
        <v>34</v>
      </c>
      <c r="B57" s="40"/>
      <c r="C57" s="40"/>
      <c r="D57" s="40"/>
      <c r="E57" s="40"/>
      <c r="F57" s="40"/>
      <c r="G57" s="40"/>
      <c r="H57" s="40"/>
      <c r="I57" s="40"/>
      <c r="J57" s="40"/>
      <c r="K57" s="40">
        <v>274</v>
      </c>
      <c r="L57" s="42">
        <v>0.58399999999999996</v>
      </c>
      <c r="M57" s="42">
        <v>0.161</v>
      </c>
      <c r="N57" s="40">
        <v>457</v>
      </c>
      <c r="O57" s="40">
        <v>431</v>
      </c>
      <c r="P57" s="40"/>
      <c r="Q57" s="40">
        <v>272</v>
      </c>
    </row>
    <row r="58" spans="1:17" ht="57.6" customHeight="1">
      <c r="A58" s="40" t="s">
        <v>794</v>
      </c>
      <c r="B58" s="40"/>
      <c r="C58" s="40"/>
      <c r="D58" s="40"/>
      <c r="E58" s="40"/>
      <c r="F58" s="40"/>
      <c r="G58" s="40"/>
      <c r="H58" s="40"/>
      <c r="I58" s="40"/>
      <c r="J58" s="40"/>
      <c r="K58" s="40">
        <v>1</v>
      </c>
      <c r="L58" s="42">
        <v>1</v>
      </c>
      <c r="M58" s="42">
        <v>0</v>
      </c>
      <c r="N58" s="40">
        <v>1984</v>
      </c>
      <c r="O58" s="40">
        <v>1984</v>
      </c>
      <c r="P58" s="40"/>
      <c r="Q58" s="40">
        <v>5</v>
      </c>
    </row>
    <row r="59" spans="1:17" ht="43.15" customHeight="1">
      <c r="A59" s="40" t="s">
        <v>37</v>
      </c>
      <c r="B59" s="40"/>
      <c r="C59" s="40"/>
      <c r="D59" s="40"/>
      <c r="E59" s="40"/>
      <c r="F59" s="40"/>
      <c r="G59" s="40"/>
      <c r="H59" s="40"/>
      <c r="I59" s="40"/>
      <c r="J59" s="40"/>
      <c r="K59" s="40">
        <v>88</v>
      </c>
      <c r="L59" s="42">
        <v>0.72699999999999998</v>
      </c>
      <c r="M59" s="42">
        <v>0.17</v>
      </c>
      <c r="N59" s="40">
        <v>1500</v>
      </c>
      <c r="O59" s="40">
        <v>1433</v>
      </c>
      <c r="P59" s="40"/>
      <c r="Q59" s="40">
        <v>90</v>
      </c>
    </row>
    <row r="60" spans="1:17" ht="43.15" customHeight="1">
      <c r="A60" s="40" t="s">
        <v>40</v>
      </c>
      <c r="B60" s="40"/>
      <c r="C60" s="40"/>
      <c r="D60" s="40"/>
      <c r="E60" s="40"/>
      <c r="F60" s="40"/>
      <c r="G60" s="40"/>
      <c r="H60" s="40"/>
      <c r="I60" s="40"/>
      <c r="J60" s="40"/>
      <c r="K60" s="40">
        <v>88</v>
      </c>
      <c r="L60" s="42">
        <v>0.64800000000000002</v>
      </c>
      <c r="M60" s="42">
        <v>0.14799999999999999</v>
      </c>
      <c r="N60" s="40">
        <v>1418</v>
      </c>
      <c r="O60" s="40">
        <v>1358</v>
      </c>
      <c r="P60" s="40"/>
      <c r="Q60" s="40">
        <v>92</v>
      </c>
    </row>
    <row r="61" spans="1:17" ht="28.9" customHeight="1">
      <c r="A61" s="40" t="s">
        <v>39</v>
      </c>
      <c r="B61" s="40"/>
      <c r="C61" s="40"/>
      <c r="D61" s="40"/>
      <c r="E61" s="40"/>
      <c r="F61" s="40"/>
      <c r="G61" s="40"/>
      <c r="H61" s="40"/>
      <c r="I61" s="40"/>
      <c r="J61" s="40"/>
      <c r="K61" s="40">
        <v>89</v>
      </c>
      <c r="L61" s="42">
        <v>0.70799999999999996</v>
      </c>
      <c r="M61" s="42">
        <v>0.13500000000000001</v>
      </c>
      <c r="N61" s="40">
        <v>1773</v>
      </c>
      <c r="O61" s="40">
        <v>1704</v>
      </c>
      <c r="P61" s="40"/>
      <c r="Q61" s="40">
        <v>90</v>
      </c>
    </row>
    <row r="62" spans="1:17" ht="100.9" customHeight="1">
      <c r="A62" s="40" t="s">
        <v>36</v>
      </c>
      <c r="B62" s="40"/>
      <c r="C62" s="40"/>
      <c r="D62" s="40"/>
      <c r="E62" s="40"/>
      <c r="F62" s="40"/>
      <c r="G62" s="40"/>
      <c r="H62" s="40"/>
      <c r="I62" s="40"/>
      <c r="J62" s="40"/>
      <c r="K62" s="40">
        <v>30</v>
      </c>
      <c r="L62" s="42">
        <v>0.7</v>
      </c>
      <c r="M62" s="42">
        <v>0.26700000000000002</v>
      </c>
      <c r="N62" s="40">
        <v>1544</v>
      </c>
      <c r="O62" s="40">
        <v>1460</v>
      </c>
      <c r="P62" s="40"/>
      <c r="Q62" s="40">
        <v>23</v>
      </c>
    </row>
    <row r="63" spans="1:17" ht="144" customHeight="1">
      <c r="A63" s="40" t="s">
        <v>35</v>
      </c>
      <c r="B63" s="40"/>
      <c r="C63" s="40"/>
      <c r="D63" s="40"/>
      <c r="E63" s="40"/>
      <c r="F63" s="40"/>
      <c r="G63" s="40"/>
      <c r="H63" s="40"/>
      <c r="I63" s="40"/>
      <c r="J63" s="40"/>
      <c r="K63" s="40">
        <v>28</v>
      </c>
      <c r="L63" s="42">
        <v>0.64300000000000002</v>
      </c>
      <c r="M63" s="42">
        <v>7.0999999999999994E-2</v>
      </c>
      <c r="N63" s="40">
        <v>2006</v>
      </c>
      <c r="O63" s="40">
        <v>1929</v>
      </c>
      <c r="P63" s="40"/>
      <c r="Q63" s="40">
        <v>42</v>
      </c>
    </row>
    <row r="64" spans="1:17" ht="115.15" customHeight="1">
      <c r="A64" s="40" t="s">
        <v>44</v>
      </c>
      <c r="B64" s="40"/>
      <c r="C64" s="40"/>
      <c r="D64" s="40"/>
      <c r="E64" s="40"/>
      <c r="F64" s="40"/>
      <c r="G64" s="40"/>
      <c r="H64" s="40"/>
      <c r="I64" s="40"/>
      <c r="J64" s="40"/>
      <c r="K64" s="40">
        <v>40</v>
      </c>
      <c r="L64" s="42">
        <v>0.57499999999999996</v>
      </c>
      <c r="M64" s="42">
        <v>0.1</v>
      </c>
      <c r="N64" s="40">
        <v>1858</v>
      </c>
      <c r="O64" s="40">
        <v>1736</v>
      </c>
      <c r="P64" s="40"/>
      <c r="Q64" s="40">
        <v>41</v>
      </c>
    </row>
    <row r="65" spans="1:17" ht="100.9" customHeight="1">
      <c r="A65" s="40" t="s">
        <v>41</v>
      </c>
      <c r="B65" s="40"/>
      <c r="C65" s="40"/>
      <c r="D65" s="40"/>
      <c r="E65" s="40"/>
      <c r="F65" s="40"/>
      <c r="G65" s="40"/>
      <c r="H65" s="40"/>
      <c r="I65" s="40"/>
      <c r="J65" s="40"/>
      <c r="K65" s="40">
        <v>113</v>
      </c>
      <c r="L65" s="42">
        <v>0.71699999999999997</v>
      </c>
      <c r="M65" s="42">
        <v>0.186</v>
      </c>
      <c r="N65" s="40">
        <v>891</v>
      </c>
      <c r="O65" s="40">
        <v>876</v>
      </c>
      <c r="P65" s="40"/>
      <c r="Q65" s="40">
        <v>113</v>
      </c>
    </row>
    <row r="66" spans="1:17" ht="144" customHeight="1">
      <c r="A66" s="40" t="s">
        <v>32</v>
      </c>
      <c r="B66" s="40"/>
      <c r="C66" s="40"/>
      <c r="D66" s="40"/>
      <c r="E66" s="40"/>
      <c r="F66" s="40"/>
      <c r="G66" s="40"/>
      <c r="H66" s="40"/>
      <c r="I66" s="40"/>
      <c r="J66" s="40"/>
      <c r="K66" s="40">
        <v>11</v>
      </c>
      <c r="L66" s="42">
        <v>0.72699999999999998</v>
      </c>
      <c r="M66" s="42">
        <v>9.0999999999999998E-2</v>
      </c>
      <c r="N66" s="40">
        <v>1009</v>
      </c>
      <c r="O66" s="40">
        <v>934</v>
      </c>
      <c r="P66" s="40"/>
      <c r="Q66" s="40">
        <v>11</v>
      </c>
    </row>
    <row r="67" spans="1:17" ht="115.15" customHeight="1">
      <c r="A67" s="40" t="s">
        <v>31</v>
      </c>
      <c r="B67" s="40"/>
      <c r="C67" s="40"/>
      <c r="D67" s="40"/>
      <c r="E67" s="40"/>
      <c r="F67" s="40"/>
      <c r="G67" s="40"/>
      <c r="H67" s="40"/>
      <c r="I67" s="40"/>
      <c r="J67" s="40"/>
      <c r="K67" s="40">
        <v>137</v>
      </c>
      <c r="L67" s="42">
        <v>0.63500000000000001</v>
      </c>
      <c r="M67" s="42">
        <v>0.16800000000000001</v>
      </c>
      <c r="N67" s="40">
        <v>1142</v>
      </c>
      <c r="O67" s="40">
        <v>1093</v>
      </c>
      <c r="P67" s="40"/>
      <c r="Q67" s="40">
        <v>134</v>
      </c>
    </row>
    <row r="68" spans="1:17" ht="129.6" customHeight="1">
      <c r="A68" s="40" t="s">
        <v>33</v>
      </c>
      <c r="B68" s="40"/>
      <c r="C68" s="40"/>
      <c r="D68" s="40"/>
      <c r="E68" s="40"/>
      <c r="F68" s="40"/>
      <c r="G68" s="40"/>
      <c r="H68" s="40"/>
      <c r="I68" s="40"/>
      <c r="J68" s="40"/>
      <c r="K68" s="40">
        <v>43</v>
      </c>
      <c r="L68" s="42">
        <v>0.74399999999999999</v>
      </c>
      <c r="M68" s="42">
        <v>0.20899999999999999</v>
      </c>
      <c r="N68" s="40">
        <v>1886</v>
      </c>
      <c r="O68" s="40">
        <v>1777</v>
      </c>
      <c r="P68" s="40"/>
      <c r="Q68" s="40">
        <v>56</v>
      </c>
    </row>
    <row r="69" spans="1:17" ht="72" customHeight="1">
      <c r="A69" s="40" t="s">
        <v>42</v>
      </c>
      <c r="B69" s="40"/>
      <c r="C69" s="40"/>
      <c r="D69" s="40"/>
      <c r="E69" s="40"/>
      <c r="F69" s="40"/>
      <c r="G69" s="40"/>
      <c r="H69" s="40"/>
      <c r="I69" s="40"/>
      <c r="J69" s="40"/>
      <c r="K69" s="40">
        <v>23</v>
      </c>
      <c r="L69" s="42">
        <v>0.73899999999999999</v>
      </c>
      <c r="M69" s="42">
        <v>0.13</v>
      </c>
      <c r="N69" s="40">
        <v>1998</v>
      </c>
      <c r="O69" s="40">
        <v>1743</v>
      </c>
      <c r="P69" s="40"/>
      <c r="Q69" s="40">
        <v>45</v>
      </c>
    </row>
    <row r="70" spans="1:17" ht="72" customHeight="1">
      <c r="A70" s="40" t="s">
        <v>43</v>
      </c>
      <c r="B70" s="40"/>
      <c r="C70" s="40"/>
      <c r="D70" s="40"/>
      <c r="E70" s="40"/>
      <c r="F70" s="40"/>
      <c r="G70" s="40"/>
      <c r="H70" s="40"/>
      <c r="I70" s="40"/>
      <c r="J70" s="40"/>
      <c r="K70" s="40">
        <v>53</v>
      </c>
      <c r="L70" s="42">
        <v>0.77400000000000002</v>
      </c>
      <c r="M70" s="42">
        <v>7.4999999999999997E-2</v>
      </c>
      <c r="N70" s="40">
        <v>2012</v>
      </c>
      <c r="O70" s="40">
        <v>1937</v>
      </c>
      <c r="P70" s="40"/>
      <c r="Q70" s="40">
        <v>60</v>
      </c>
    </row>
    <row r="71" spans="1:17" ht="43.15" customHeight="1">
      <c r="A71" s="43" t="s">
        <v>795</v>
      </c>
      <c r="B71" s="43">
        <v>2642</v>
      </c>
      <c r="C71" s="44">
        <v>0.66300000000000003</v>
      </c>
      <c r="D71" s="44">
        <v>0.151</v>
      </c>
      <c r="E71" s="43">
        <v>2386</v>
      </c>
      <c r="F71" s="44">
        <v>0.65800000000000003</v>
      </c>
      <c r="G71" s="44">
        <v>0.161</v>
      </c>
      <c r="H71" s="43">
        <v>2215</v>
      </c>
      <c r="I71" s="44">
        <v>0.65600000000000003</v>
      </c>
      <c r="J71" s="44">
        <v>0.16900000000000001</v>
      </c>
      <c r="K71" s="43">
        <v>1018</v>
      </c>
      <c r="L71" s="43"/>
      <c r="M71" s="43"/>
      <c r="N71" s="40"/>
      <c r="O71" s="40"/>
      <c r="P71" s="40"/>
      <c r="Q71" s="43">
        <v>1074</v>
      </c>
    </row>
    <row r="72" spans="1:17">
      <c r="A72" s="107" t="s">
        <v>796</v>
      </c>
      <c r="B72" s="106"/>
      <c r="C72" s="106"/>
      <c r="D72" s="106"/>
      <c r="E72" s="106"/>
      <c r="F72" s="106"/>
      <c r="G72" s="106"/>
      <c r="H72" s="106"/>
      <c r="I72" s="106"/>
      <c r="J72" s="106"/>
      <c r="K72" s="106"/>
      <c r="L72" s="106"/>
      <c r="M72" s="106"/>
      <c r="N72" s="106"/>
      <c r="O72" s="106"/>
      <c r="P72" s="106"/>
      <c r="Q72" s="106"/>
    </row>
    <row r="73" spans="1:17">
      <c r="A73" s="106"/>
      <c r="B73" s="106"/>
      <c r="C73" s="106"/>
      <c r="D73" s="106"/>
      <c r="E73" s="106"/>
      <c r="F73" s="106"/>
      <c r="G73" s="106"/>
      <c r="H73" s="106"/>
      <c r="I73" s="106"/>
      <c r="J73" s="106"/>
      <c r="K73" s="106"/>
      <c r="L73" s="106"/>
      <c r="M73" s="106"/>
      <c r="N73" s="106"/>
      <c r="O73" s="106"/>
      <c r="P73" s="106"/>
      <c r="Q73" s="106"/>
    </row>
    <row r="74" spans="1:17" ht="14.45" customHeight="1">
      <c r="A74" s="108" t="s">
        <v>20</v>
      </c>
      <c r="B74" s="105" t="s">
        <v>21</v>
      </c>
      <c r="C74" s="106"/>
      <c r="D74" s="106"/>
      <c r="E74" s="105" t="s">
        <v>22</v>
      </c>
      <c r="F74" s="106"/>
      <c r="G74" s="106"/>
      <c r="H74" s="105" t="s">
        <v>23</v>
      </c>
      <c r="I74" s="106"/>
      <c r="J74" s="106"/>
      <c r="K74" s="105" t="s">
        <v>24</v>
      </c>
      <c r="L74" s="106"/>
      <c r="M74" s="106"/>
      <c r="N74" s="106"/>
      <c r="O74" s="106"/>
      <c r="P74" s="105" t="s">
        <v>25</v>
      </c>
      <c r="Q74" s="105" t="s">
        <v>26</v>
      </c>
    </row>
    <row r="75" spans="1:17">
      <c r="A75" s="106"/>
      <c r="B75" s="40" t="s">
        <v>27</v>
      </c>
      <c r="C75" s="40" t="s">
        <v>28</v>
      </c>
      <c r="D75" s="41">
        <v>46058</v>
      </c>
      <c r="E75" s="40" t="s">
        <v>27</v>
      </c>
      <c r="F75" s="40" t="s">
        <v>28</v>
      </c>
      <c r="G75" s="41">
        <v>46058</v>
      </c>
      <c r="H75" s="40" t="s">
        <v>27</v>
      </c>
      <c r="I75" s="40" t="s">
        <v>28</v>
      </c>
      <c r="J75" s="41">
        <v>46058</v>
      </c>
      <c r="K75" s="40" t="s">
        <v>27</v>
      </c>
      <c r="L75" s="40" t="s">
        <v>28</v>
      </c>
      <c r="M75" s="41">
        <v>46058</v>
      </c>
      <c r="N75" s="40" t="s">
        <v>29</v>
      </c>
      <c r="O75" s="40" t="s">
        <v>30</v>
      </c>
      <c r="P75" s="106"/>
      <c r="Q75" s="106"/>
    </row>
    <row r="76" spans="1:17" ht="57.6" customHeight="1">
      <c r="A76" s="40" t="s">
        <v>48</v>
      </c>
      <c r="B76" s="40"/>
      <c r="C76" s="40"/>
      <c r="D76" s="40"/>
      <c r="E76" s="40"/>
      <c r="F76" s="40"/>
      <c r="G76" s="40"/>
      <c r="H76" s="40"/>
      <c r="I76" s="40"/>
      <c r="J76" s="40"/>
      <c r="K76" s="40">
        <v>68</v>
      </c>
      <c r="L76" s="42">
        <v>0.72099999999999997</v>
      </c>
      <c r="M76" s="42">
        <v>0.35299999999999998</v>
      </c>
      <c r="N76" s="40">
        <v>126</v>
      </c>
      <c r="O76" s="40">
        <v>137</v>
      </c>
      <c r="P76" s="40"/>
      <c r="Q76" s="40">
        <v>68</v>
      </c>
    </row>
    <row r="77" spans="1:17" ht="43.15" customHeight="1">
      <c r="A77" s="40" t="s">
        <v>51</v>
      </c>
      <c r="B77" s="40"/>
      <c r="C77" s="40"/>
      <c r="D77" s="40"/>
      <c r="E77" s="40"/>
      <c r="F77" s="40"/>
      <c r="G77" s="40"/>
      <c r="H77" s="40"/>
      <c r="I77" s="40"/>
      <c r="J77" s="40"/>
      <c r="K77" s="40">
        <v>68</v>
      </c>
      <c r="L77" s="42">
        <v>0.77900000000000003</v>
      </c>
      <c r="M77" s="42">
        <v>0.39700000000000002</v>
      </c>
      <c r="N77" s="40">
        <v>189</v>
      </c>
      <c r="O77" s="40">
        <v>183</v>
      </c>
      <c r="P77" s="40"/>
      <c r="Q77" s="40">
        <v>68</v>
      </c>
    </row>
    <row r="78" spans="1:17" ht="72" customHeight="1">
      <c r="A78" s="40" t="s">
        <v>50</v>
      </c>
      <c r="B78" s="40"/>
      <c r="C78" s="40"/>
      <c r="D78" s="40"/>
      <c r="E78" s="40"/>
      <c r="F78" s="40"/>
      <c r="G78" s="40"/>
      <c r="H78" s="40"/>
      <c r="I78" s="40"/>
      <c r="J78" s="40"/>
      <c r="K78" s="40">
        <v>68</v>
      </c>
      <c r="L78" s="42">
        <v>0.72099999999999997</v>
      </c>
      <c r="M78" s="42">
        <v>0.45600000000000002</v>
      </c>
      <c r="N78" s="40">
        <v>320</v>
      </c>
      <c r="O78" s="40">
        <v>288</v>
      </c>
      <c r="P78" s="40"/>
      <c r="Q78" s="40">
        <v>68</v>
      </c>
    </row>
    <row r="79" spans="1:17" ht="57.6" customHeight="1">
      <c r="A79" s="40" t="s">
        <v>49</v>
      </c>
      <c r="B79" s="40"/>
      <c r="C79" s="40"/>
      <c r="D79" s="40"/>
      <c r="E79" s="40"/>
      <c r="F79" s="40"/>
      <c r="G79" s="40"/>
      <c r="H79" s="40"/>
      <c r="I79" s="40"/>
      <c r="J79" s="40"/>
      <c r="K79" s="40">
        <v>68</v>
      </c>
      <c r="L79" s="42">
        <v>0.61799999999999999</v>
      </c>
      <c r="M79" s="42">
        <v>0.47099999999999997</v>
      </c>
      <c r="N79" s="40">
        <v>161</v>
      </c>
      <c r="O79" s="40">
        <v>160</v>
      </c>
      <c r="P79" s="40"/>
      <c r="Q79" s="40">
        <v>68</v>
      </c>
    </row>
    <row r="80" spans="1:17" ht="28.9" customHeight="1">
      <c r="A80" s="43" t="s">
        <v>797</v>
      </c>
      <c r="B80" s="43">
        <v>1680</v>
      </c>
      <c r="C80" s="44">
        <v>0.70799999999999996</v>
      </c>
      <c r="D80" s="44">
        <v>0.20100000000000001</v>
      </c>
      <c r="E80" s="43">
        <v>796</v>
      </c>
      <c r="F80" s="44">
        <v>0.68300000000000005</v>
      </c>
      <c r="G80" s="44">
        <v>0.33300000000000002</v>
      </c>
      <c r="H80" s="43">
        <v>401</v>
      </c>
      <c r="I80" s="44">
        <v>0.66300000000000003</v>
      </c>
      <c r="J80" s="44">
        <v>0.34899999999999998</v>
      </c>
      <c r="K80" s="43">
        <v>272</v>
      </c>
      <c r="L80" s="43"/>
      <c r="M80" s="43"/>
      <c r="N80" s="40"/>
      <c r="O80" s="40"/>
      <c r="P80" s="40"/>
      <c r="Q80" s="43">
        <v>272</v>
      </c>
    </row>
    <row r="81" spans="1:17">
      <c r="A81" s="107" t="s">
        <v>798</v>
      </c>
      <c r="B81" s="106"/>
      <c r="C81" s="106"/>
      <c r="D81" s="106"/>
      <c r="E81" s="106"/>
      <c r="F81" s="106"/>
      <c r="G81" s="106"/>
      <c r="H81" s="106"/>
      <c r="I81" s="106"/>
      <c r="J81" s="106"/>
      <c r="K81" s="106"/>
      <c r="L81" s="106"/>
      <c r="M81" s="106"/>
      <c r="N81" s="106"/>
      <c r="O81" s="106"/>
      <c r="P81" s="106"/>
      <c r="Q81" s="106"/>
    </row>
    <row r="82" spans="1:17">
      <c r="A82" s="106"/>
      <c r="B82" s="106"/>
      <c r="C82" s="106"/>
      <c r="D82" s="106"/>
      <c r="E82" s="106"/>
      <c r="F82" s="106"/>
      <c r="G82" s="106"/>
      <c r="H82" s="106"/>
      <c r="I82" s="106"/>
      <c r="J82" s="106"/>
      <c r="K82" s="106"/>
      <c r="L82" s="106"/>
      <c r="M82" s="106"/>
      <c r="N82" s="106"/>
      <c r="O82" s="106"/>
      <c r="P82" s="106"/>
      <c r="Q82" s="106"/>
    </row>
    <row r="83" spans="1:17" ht="14.45" customHeight="1">
      <c r="A83" s="108" t="s">
        <v>20</v>
      </c>
      <c r="B83" s="105" t="s">
        <v>21</v>
      </c>
      <c r="C83" s="106"/>
      <c r="D83" s="106"/>
      <c r="E83" s="105" t="s">
        <v>22</v>
      </c>
      <c r="F83" s="106"/>
      <c r="G83" s="106"/>
      <c r="H83" s="105" t="s">
        <v>23</v>
      </c>
      <c r="I83" s="106"/>
      <c r="J83" s="106"/>
      <c r="K83" s="105" t="s">
        <v>24</v>
      </c>
      <c r="L83" s="106"/>
      <c r="M83" s="106"/>
      <c r="N83" s="106"/>
      <c r="O83" s="106"/>
      <c r="P83" s="105" t="s">
        <v>25</v>
      </c>
      <c r="Q83" s="105" t="s">
        <v>26</v>
      </c>
    </row>
    <row r="84" spans="1:17">
      <c r="A84" s="106"/>
      <c r="B84" s="40" t="s">
        <v>27</v>
      </c>
      <c r="C84" s="40" t="s">
        <v>28</v>
      </c>
      <c r="D84" s="41">
        <v>46058</v>
      </c>
      <c r="E84" s="40" t="s">
        <v>27</v>
      </c>
      <c r="F84" s="40" t="s">
        <v>28</v>
      </c>
      <c r="G84" s="41">
        <v>46058</v>
      </c>
      <c r="H84" s="40" t="s">
        <v>27</v>
      </c>
      <c r="I84" s="40" t="s">
        <v>28</v>
      </c>
      <c r="J84" s="41">
        <v>46058</v>
      </c>
      <c r="K84" s="40" t="s">
        <v>27</v>
      </c>
      <c r="L84" s="40" t="s">
        <v>28</v>
      </c>
      <c r="M84" s="41">
        <v>46058</v>
      </c>
      <c r="N84" s="40" t="s">
        <v>29</v>
      </c>
      <c r="O84" s="40" t="s">
        <v>30</v>
      </c>
      <c r="P84" s="106"/>
      <c r="Q84" s="106"/>
    </row>
    <row r="85" spans="1:17" ht="100.9" customHeight="1">
      <c r="A85" s="40" t="s">
        <v>799</v>
      </c>
      <c r="B85" s="40"/>
      <c r="C85" s="40"/>
      <c r="D85" s="40"/>
      <c r="E85" s="40"/>
      <c r="F85" s="40"/>
      <c r="G85" s="40"/>
      <c r="H85" s="40"/>
      <c r="I85" s="40"/>
      <c r="J85" s="40"/>
      <c r="K85" s="40">
        <v>9</v>
      </c>
      <c r="L85" s="42">
        <v>0.66700000000000004</v>
      </c>
      <c r="M85" s="42">
        <v>0.33300000000000002</v>
      </c>
      <c r="N85" s="40">
        <v>556</v>
      </c>
      <c r="O85" s="40">
        <v>566</v>
      </c>
      <c r="P85" s="40"/>
      <c r="Q85" s="40">
        <v>7</v>
      </c>
    </row>
    <row r="86" spans="1:17" ht="100.9" customHeight="1">
      <c r="A86" s="40" t="s">
        <v>800</v>
      </c>
      <c r="B86" s="40"/>
      <c r="C86" s="40"/>
      <c r="D86" s="40"/>
      <c r="E86" s="40"/>
      <c r="F86" s="40"/>
      <c r="G86" s="40"/>
      <c r="H86" s="40"/>
      <c r="I86" s="40"/>
      <c r="J86" s="40"/>
      <c r="K86" s="40">
        <v>5</v>
      </c>
      <c r="L86" s="42">
        <v>1</v>
      </c>
      <c r="M86" s="42">
        <v>0.4</v>
      </c>
      <c r="N86" s="40">
        <v>313</v>
      </c>
      <c r="O86" s="40">
        <v>312</v>
      </c>
      <c r="P86" s="40"/>
      <c r="Q86" s="40">
        <v>8</v>
      </c>
    </row>
    <row r="87" spans="1:17" ht="28.9" customHeight="1">
      <c r="A87" s="40" t="s">
        <v>745</v>
      </c>
      <c r="B87" s="40"/>
      <c r="C87" s="40"/>
      <c r="D87" s="40"/>
      <c r="E87" s="40"/>
      <c r="F87" s="40"/>
      <c r="G87" s="40"/>
      <c r="H87" s="40"/>
      <c r="I87" s="40"/>
      <c r="J87" s="40"/>
      <c r="K87" s="40">
        <v>4</v>
      </c>
      <c r="L87" s="42">
        <v>0.25</v>
      </c>
      <c r="M87" s="42">
        <v>0.5</v>
      </c>
      <c r="N87" s="40">
        <v>84</v>
      </c>
      <c r="O87" s="40">
        <v>81</v>
      </c>
      <c r="P87" s="40"/>
      <c r="Q87" s="40">
        <v>3</v>
      </c>
    </row>
    <row r="88" spans="1:17">
      <c r="A88" s="40" t="s">
        <v>749</v>
      </c>
      <c r="B88" s="40"/>
      <c r="C88" s="40"/>
      <c r="D88" s="40"/>
      <c r="E88" s="40"/>
      <c r="F88" s="40"/>
      <c r="G88" s="40"/>
      <c r="H88" s="40"/>
      <c r="I88" s="40"/>
      <c r="J88" s="40"/>
      <c r="K88" s="40">
        <v>3</v>
      </c>
      <c r="L88" s="42">
        <v>0.33300000000000002</v>
      </c>
      <c r="M88" s="42">
        <v>0.33300000000000002</v>
      </c>
      <c r="N88" s="40">
        <v>410</v>
      </c>
      <c r="O88" s="40">
        <v>359</v>
      </c>
      <c r="P88" s="40"/>
      <c r="Q88" s="40">
        <v>5</v>
      </c>
    </row>
    <row r="89" spans="1:17" ht="28.9" customHeight="1">
      <c r="A89" s="40" t="s">
        <v>753</v>
      </c>
      <c r="B89" s="40"/>
      <c r="C89" s="40"/>
      <c r="D89" s="40"/>
      <c r="E89" s="40"/>
      <c r="F89" s="40"/>
      <c r="G89" s="40"/>
      <c r="H89" s="40"/>
      <c r="I89" s="40"/>
      <c r="J89" s="40"/>
      <c r="K89" s="40">
        <v>2</v>
      </c>
      <c r="L89" s="42">
        <v>0.5</v>
      </c>
      <c r="M89" s="42">
        <v>0.5</v>
      </c>
      <c r="N89" s="40">
        <v>192</v>
      </c>
      <c r="O89" s="40">
        <v>192</v>
      </c>
      <c r="P89" s="40"/>
      <c r="Q89" s="40">
        <v>2</v>
      </c>
    </row>
    <row r="90" spans="1:17">
      <c r="A90" s="40" t="s">
        <v>757</v>
      </c>
      <c r="B90" s="40"/>
      <c r="C90" s="40"/>
      <c r="D90" s="40"/>
      <c r="E90" s="40"/>
      <c r="F90" s="40"/>
      <c r="G90" s="40"/>
      <c r="H90" s="40"/>
      <c r="I90" s="40"/>
      <c r="J90" s="40"/>
      <c r="K90" s="40">
        <v>2</v>
      </c>
      <c r="L90" s="42">
        <v>0.5</v>
      </c>
      <c r="M90" s="42">
        <v>0.5</v>
      </c>
      <c r="N90" s="40">
        <v>12</v>
      </c>
      <c r="O90" s="40">
        <v>12</v>
      </c>
      <c r="P90" s="40"/>
      <c r="Q90" s="40">
        <v>2</v>
      </c>
    </row>
    <row r="91" spans="1:17" ht="28.9" customHeight="1">
      <c r="A91" s="40" t="s">
        <v>801</v>
      </c>
      <c r="B91" s="40"/>
      <c r="C91" s="40"/>
      <c r="D91" s="40"/>
      <c r="E91" s="40"/>
      <c r="F91" s="40"/>
      <c r="G91" s="40"/>
      <c r="H91" s="40"/>
      <c r="I91" s="40"/>
      <c r="J91" s="40"/>
      <c r="K91" s="40">
        <v>3</v>
      </c>
      <c r="L91" s="42">
        <v>0</v>
      </c>
      <c r="M91" s="42">
        <v>0.33300000000000002</v>
      </c>
      <c r="N91" s="40">
        <v>512</v>
      </c>
      <c r="O91" s="40">
        <v>475</v>
      </c>
      <c r="P91" s="40"/>
      <c r="Q91" s="40">
        <v>3</v>
      </c>
    </row>
    <row r="92" spans="1:17" ht="28.9" customHeight="1">
      <c r="A92" s="43" t="s">
        <v>802</v>
      </c>
      <c r="B92" s="43">
        <v>1003</v>
      </c>
      <c r="C92" s="44">
        <v>0.66</v>
      </c>
      <c r="D92" s="44">
        <v>0.14299999999999999</v>
      </c>
      <c r="E92" s="43">
        <v>724</v>
      </c>
      <c r="F92" s="44">
        <v>0.63300000000000001</v>
      </c>
      <c r="G92" s="44">
        <v>0.16900000000000001</v>
      </c>
      <c r="H92" s="43">
        <v>684</v>
      </c>
      <c r="I92" s="44">
        <v>0.63600000000000001</v>
      </c>
      <c r="J92" s="44">
        <v>0.17100000000000001</v>
      </c>
      <c r="K92" s="43">
        <v>28</v>
      </c>
      <c r="L92" s="43"/>
      <c r="M92" s="43"/>
      <c r="N92" s="40"/>
      <c r="O92" s="40"/>
      <c r="P92" s="40"/>
      <c r="Q92" s="43">
        <v>30</v>
      </c>
    </row>
    <row r="93" spans="1:17">
      <c r="A93" s="107" t="s">
        <v>803</v>
      </c>
      <c r="B93" s="106"/>
      <c r="C93" s="106"/>
      <c r="D93" s="106"/>
      <c r="E93" s="106"/>
      <c r="F93" s="106"/>
      <c r="G93" s="106"/>
      <c r="H93" s="106"/>
      <c r="I93" s="106"/>
      <c r="J93" s="106"/>
      <c r="K93" s="106"/>
      <c r="L93" s="106"/>
      <c r="M93" s="106"/>
      <c r="N93" s="106"/>
      <c r="O93" s="106"/>
      <c r="P93" s="106"/>
      <c r="Q93" s="106"/>
    </row>
    <row r="94" spans="1:17">
      <c r="A94" s="106"/>
      <c r="B94" s="106"/>
      <c r="C94" s="106"/>
      <c r="D94" s="106"/>
      <c r="E94" s="106"/>
      <c r="F94" s="106"/>
      <c r="G94" s="106"/>
      <c r="H94" s="106"/>
      <c r="I94" s="106"/>
      <c r="J94" s="106"/>
      <c r="K94" s="106"/>
      <c r="L94" s="106"/>
      <c r="M94" s="106"/>
      <c r="N94" s="106"/>
      <c r="O94" s="106"/>
      <c r="P94" s="106"/>
      <c r="Q94" s="106"/>
    </row>
    <row r="95" spans="1:17" ht="14.45" customHeight="1">
      <c r="A95" s="108" t="s">
        <v>20</v>
      </c>
      <c r="B95" s="105" t="s">
        <v>21</v>
      </c>
      <c r="C95" s="106"/>
      <c r="D95" s="106"/>
      <c r="E95" s="105" t="s">
        <v>22</v>
      </c>
      <c r="F95" s="106"/>
      <c r="G95" s="106"/>
      <c r="H95" s="105" t="s">
        <v>23</v>
      </c>
      <c r="I95" s="106"/>
      <c r="J95" s="106"/>
      <c r="K95" s="105" t="s">
        <v>24</v>
      </c>
      <c r="L95" s="106"/>
      <c r="M95" s="106"/>
      <c r="N95" s="106"/>
      <c r="O95" s="106"/>
      <c r="P95" s="105" t="s">
        <v>25</v>
      </c>
      <c r="Q95" s="105" t="s">
        <v>26</v>
      </c>
    </row>
    <row r="96" spans="1:17">
      <c r="A96" s="106"/>
      <c r="B96" s="40" t="s">
        <v>27</v>
      </c>
      <c r="C96" s="40" t="s">
        <v>28</v>
      </c>
      <c r="D96" s="41">
        <v>46058</v>
      </c>
      <c r="E96" s="40" t="s">
        <v>27</v>
      </c>
      <c r="F96" s="40" t="s">
        <v>28</v>
      </c>
      <c r="G96" s="41">
        <v>46058</v>
      </c>
      <c r="H96" s="40" t="s">
        <v>27</v>
      </c>
      <c r="I96" s="40" t="s">
        <v>28</v>
      </c>
      <c r="J96" s="41">
        <v>46058</v>
      </c>
      <c r="K96" s="40" t="s">
        <v>27</v>
      </c>
      <c r="L96" s="40" t="s">
        <v>28</v>
      </c>
      <c r="M96" s="41">
        <v>46058</v>
      </c>
      <c r="N96" s="40" t="s">
        <v>29</v>
      </c>
      <c r="O96" s="40" t="s">
        <v>30</v>
      </c>
      <c r="P96" s="106"/>
      <c r="Q96" s="106"/>
    </row>
    <row r="97" spans="1:17" ht="57.6" customHeight="1">
      <c r="A97" s="40" t="s">
        <v>804</v>
      </c>
      <c r="B97" s="40"/>
      <c r="C97" s="40"/>
      <c r="D97" s="40"/>
      <c r="E97" s="40"/>
      <c r="F97" s="40"/>
      <c r="G97" s="40"/>
      <c r="H97" s="40"/>
      <c r="I97" s="40"/>
      <c r="J97" s="40"/>
      <c r="K97" s="40">
        <v>7</v>
      </c>
      <c r="L97" s="42">
        <v>0.57099999999999995</v>
      </c>
      <c r="M97" s="42">
        <v>0.14299999999999999</v>
      </c>
      <c r="N97" s="40">
        <v>327</v>
      </c>
      <c r="O97" s="40">
        <v>362</v>
      </c>
      <c r="P97" s="40"/>
      <c r="Q97" s="40">
        <v>6</v>
      </c>
    </row>
    <row r="98" spans="1:17" ht="57.6" customHeight="1">
      <c r="A98" s="40" t="s">
        <v>54</v>
      </c>
      <c r="B98" s="40"/>
      <c r="C98" s="40"/>
      <c r="D98" s="40"/>
      <c r="E98" s="40"/>
      <c r="F98" s="40"/>
      <c r="G98" s="40"/>
      <c r="H98" s="40"/>
      <c r="I98" s="40"/>
      <c r="J98" s="40"/>
      <c r="K98" s="40">
        <v>18</v>
      </c>
      <c r="L98" s="42">
        <v>0.72199999999999998</v>
      </c>
      <c r="M98" s="42">
        <v>0.222</v>
      </c>
      <c r="N98" s="40">
        <v>422</v>
      </c>
      <c r="O98" s="40">
        <v>390</v>
      </c>
      <c r="P98" s="40"/>
      <c r="Q98" s="40">
        <v>18</v>
      </c>
    </row>
    <row r="99" spans="1:17" ht="72" customHeight="1">
      <c r="A99" s="40" t="s">
        <v>55</v>
      </c>
      <c r="B99" s="40"/>
      <c r="C99" s="40"/>
      <c r="D99" s="40"/>
      <c r="E99" s="40"/>
      <c r="F99" s="40"/>
      <c r="G99" s="40"/>
      <c r="H99" s="40"/>
      <c r="I99" s="40"/>
      <c r="J99" s="40"/>
      <c r="K99" s="40">
        <v>3</v>
      </c>
      <c r="L99" s="42">
        <v>1</v>
      </c>
      <c r="M99" s="42">
        <v>0</v>
      </c>
      <c r="N99" s="40">
        <v>678</v>
      </c>
      <c r="O99" s="40">
        <v>593</v>
      </c>
      <c r="P99" s="40"/>
      <c r="Q99" s="40">
        <v>3</v>
      </c>
    </row>
    <row r="100" spans="1:17" ht="28.9" customHeight="1">
      <c r="A100" s="40" t="s">
        <v>56</v>
      </c>
      <c r="B100" s="40"/>
      <c r="C100" s="40"/>
      <c r="D100" s="40"/>
      <c r="E100" s="40"/>
      <c r="F100" s="40"/>
      <c r="G100" s="40"/>
      <c r="H100" s="40"/>
      <c r="I100" s="40"/>
      <c r="J100" s="40"/>
      <c r="K100" s="40">
        <v>10</v>
      </c>
      <c r="L100" s="42">
        <v>0.6</v>
      </c>
      <c r="M100" s="42">
        <v>0</v>
      </c>
      <c r="N100" s="40">
        <v>283</v>
      </c>
      <c r="O100" s="40">
        <v>265</v>
      </c>
      <c r="P100" s="40"/>
      <c r="Q100" s="40">
        <v>9</v>
      </c>
    </row>
    <row r="101" spans="1:17" ht="115.15" customHeight="1">
      <c r="A101" s="40" t="s">
        <v>57</v>
      </c>
      <c r="B101" s="40"/>
      <c r="C101" s="40"/>
      <c r="D101" s="40"/>
      <c r="E101" s="40"/>
      <c r="F101" s="40"/>
      <c r="G101" s="40"/>
      <c r="H101" s="40"/>
      <c r="I101" s="40"/>
      <c r="J101" s="40"/>
      <c r="K101" s="40">
        <v>6</v>
      </c>
      <c r="L101" s="42">
        <v>0.66700000000000004</v>
      </c>
      <c r="M101" s="42">
        <v>0</v>
      </c>
      <c r="N101" s="40">
        <v>904</v>
      </c>
      <c r="O101" s="40">
        <v>829</v>
      </c>
      <c r="P101" s="40"/>
      <c r="Q101" s="40">
        <v>5</v>
      </c>
    </row>
    <row r="102" spans="1:17" ht="72" customHeight="1">
      <c r="A102" s="40" t="s">
        <v>805</v>
      </c>
      <c r="B102" s="40"/>
      <c r="C102" s="40"/>
      <c r="D102" s="40"/>
      <c r="E102" s="40"/>
      <c r="F102" s="40"/>
      <c r="G102" s="40"/>
      <c r="H102" s="40"/>
      <c r="I102" s="40"/>
      <c r="J102" s="40"/>
      <c r="K102" s="40">
        <v>3</v>
      </c>
      <c r="L102" s="42">
        <v>0.66700000000000004</v>
      </c>
      <c r="M102" s="42">
        <v>0</v>
      </c>
      <c r="N102" s="40">
        <v>733</v>
      </c>
      <c r="O102" s="40">
        <v>786</v>
      </c>
      <c r="P102" s="40"/>
      <c r="Q102" s="40">
        <v>2</v>
      </c>
    </row>
    <row r="103" spans="1:17" ht="28.9" customHeight="1">
      <c r="A103" s="40" t="s">
        <v>806</v>
      </c>
      <c r="B103" s="40"/>
      <c r="C103" s="40"/>
      <c r="D103" s="40"/>
      <c r="E103" s="40"/>
      <c r="F103" s="40"/>
      <c r="G103" s="40"/>
      <c r="H103" s="40"/>
      <c r="I103" s="40"/>
      <c r="J103" s="40"/>
      <c r="K103" s="40">
        <v>0</v>
      </c>
      <c r="L103" s="42">
        <v>0</v>
      </c>
      <c r="M103" s="42">
        <v>0</v>
      </c>
      <c r="N103" s="40">
        <v>0</v>
      </c>
      <c r="O103" s="40">
        <v>0</v>
      </c>
      <c r="P103" s="40"/>
      <c r="Q103" s="40">
        <v>1</v>
      </c>
    </row>
    <row r="104" spans="1:17" ht="43.15" customHeight="1">
      <c r="A104" s="40" t="s">
        <v>58</v>
      </c>
      <c r="B104" s="40"/>
      <c r="C104" s="40"/>
      <c r="D104" s="40"/>
      <c r="E104" s="40"/>
      <c r="F104" s="40"/>
      <c r="G104" s="40"/>
      <c r="H104" s="40"/>
      <c r="I104" s="40"/>
      <c r="J104" s="40"/>
      <c r="K104" s="40">
        <v>0</v>
      </c>
      <c r="L104" s="42">
        <v>0</v>
      </c>
      <c r="M104" s="42">
        <v>0</v>
      </c>
      <c r="N104" s="40">
        <v>0</v>
      </c>
      <c r="O104" s="40">
        <v>0</v>
      </c>
      <c r="P104" s="40"/>
      <c r="Q104" s="40">
        <v>1</v>
      </c>
    </row>
    <row r="105" spans="1:17" ht="57.6" customHeight="1">
      <c r="A105" s="40" t="s">
        <v>59</v>
      </c>
      <c r="B105" s="40"/>
      <c r="C105" s="40"/>
      <c r="D105" s="40"/>
      <c r="E105" s="40"/>
      <c r="F105" s="40"/>
      <c r="G105" s="40"/>
      <c r="H105" s="40"/>
      <c r="I105" s="40"/>
      <c r="J105" s="40"/>
      <c r="K105" s="40">
        <v>14</v>
      </c>
      <c r="L105" s="42">
        <v>0.85699999999999998</v>
      </c>
      <c r="M105" s="42">
        <v>0.14299999999999999</v>
      </c>
      <c r="N105" s="40">
        <v>821</v>
      </c>
      <c r="O105" s="40">
        <v>755</v>
      </c>
      <c r="P105" s="40"/>
      <c r="Q105" s="40">
        <v>13</v>
      </c>
    </row>
    <row r="106" spans="1:17" ht="72" customHeight="1">
      <c r="A106" s="40" t="s">
        <v>60</v>
      </c>
      <c r="B106" s="40"/>
      <c r="C106" s="40"/>
      <c r="D106" s="40"/>
      <c r="E106" s="40"/>
      <c r="F106" s="40"/>
      <c r="G106" s="40"/>
      <c r="H106" s="40"/>
      <c r="I106" s="40"/>
      <c r="J106" s="40"/>
      <c r="K106" s="40">
        <v>3</v>
      </c>
      <c r="L106" s="42">
        <v>1</v>
      </c>
      <c r="M106" s="42">
        <v>0.33300000000000002</v>
      </c>
      <c r="N106" s="40">
        <v>828</v>
      </c>
      <c r="O106" s="40">
        <v>814</v>
      </c>
      <c r="P106" s="40"/>
      <c r="Q106" s="40">
        <v>4</v>
      </c>
    </row>
    <row r="107" spans="1:17" ht="100.9" customHeight="1">
      <c r="A107" s="40" t="s">
        <v>807</v>
      </c>
      <c r="B107" s="40"/>
      <c r="C107" s="40"/>
      <c r="D107" s="40"/>
      <c r="E107" s="40"/>
      <c r="F107" s="40"/>
      <c r="G107" s="40"/>
      <c r="H107" s="40"/>
      <c r="I107" s="40"/>
      <c r="J107" s="40"/>
      <c r="K107" s="40">
        <v>0</v>
      </c>
      <c r="L107" s="42">
        <v>0</v>
      </c>
      <c r="M107" s="42">
        <v>0</v>
      </c>
      <c r="N107" s="40">
        <v>0</v>
      </c>
      <c r="O107" s="40">
        <v>0</v>
      </c>
      <c r="P107" s="40"/>
      <c r="Q107" s="40">
        <v>1</v>
      </c>
    </row>
    <row r="108" spans="1:17" ht="57.6" customHeight="1">
      <c r="A108" s="40" t="s">
        <v>61</v>
      </c>
      <c r="B108" s="40"/>
      <c r="C108" s="40"/>
      <c r="D108" s="40"/>
      <c r="E108" s="40"/>
      <c r="F108" s="40"/>
      <c r="G108" s="40"/>
      <c r="H108" s="40"/>
      <c r="I108" s="40"/>
      <c r="J108" s="40"/>
      <c r="K108" s="40">
        <v>8</v>
      </c>
      <c r="L108" s="42">
        <v>0.875</v>
      </c>
      <c r="M108" s="42">
        <v>0.125</v>
      </c>
      <c r="N108" s="40">
        <v>817</v>
      </c>
      <c r="O108" s="40">
        <v>774</v>
      </c>
      <c r="P108" s="40"/>
      <c r="Q108" s="40">
        <v>8</v>
      </c>
    </row>
    <row r="109" spans="1:17" ht="72" customHeight="1">
      <c r="A109" s="40" t="s">
        <v>808</v>
      </c>
      <c r="B109" s="40"/>
      <c r="C109" s="40"/>
      <c r="D109" s="40"/>
      <c r="E109" s="40"/>
      <c r="F109" s="40"/>
      <c r="G109" s="40"/>
      <c r="H109" s="40"/>
      <c r="I109" s="40"/>
      <c r="J109" s="40"/>
      <c r="K109" s="40">
        <v>1</v>
      </c>
      <c r="L109" s="42">
        <v>0</v>
      </c>
      <c r="M109" s="42">
        <v>0</v>
      </c>
      <c r="N109" s="40">
        <v>1021</v>
      </c>
      <c r="O109" s="40">
        <v>1021</v>
      </c>
      <c r="P109" s="40"/>
      <c r="Q109" s="40">
        <v>2</v>
      </c>
    </row>
    <row r="110" spans="1:17" ht="57.6" customHeight="1">
      <c r="A110" s="40" t="s">
        <v>62</v>
      </c>
      <c r="B110" s="40"/>
      <c r="C110" s="40"/>
      <c r="D110" s="40"/>
      <c r="E110" s="40"/>
      <c r="F110" s="40"/>
      <c r="G110" s="40"/>
      <c r="H110" s="40"/>
      <c r="I110" s="40"/>
      <c r="J110" s="40"/>
      <c r="K110" s="40">
        <v>0</v>
      </c>
      <c r="L110" s="42">
        <v>0</v>
      </c>
      <c r="M110" s="42">
        <v>0</v>
      </c>
      <c r="N110" s="40">
        <v>0</v>
      </c>
      <c r="O110" s="40">
        <v>0</v>
      </c>
      <c r="P110" s="40"/>
      <c r="Q110" s="40">
        <v>1</v>
      </c>
    </row>
    <row r="111" spans="1:17" ht="86.45" customHeight="1">
      <c r="A111" s="40" t="s">
        <v>63</v>
      </c>
      <c r="B111" s="40"/>
      <c r="C111" s="40"/>
      <c r="D111" s="40"/>
      <c r="E111" s="40"/>
      <c r="F111" s="40"/>
      <c r="G111" s="40"/>
      <c r="H111" s="40"/>
      <c r="I111" s="40"/>
      <c r="J111" s="40"/>
      <c r="K111" s="40">
        <v>3</v>
      </c>
      <c r="L111" s="42">
        <v>1</v>
      </c>
      <c r="M111" s="42">
        <v>0</v>
      </c>
      <c r="N111" s="40">
        <v>982</v>
      </c>
      <c r="O111" s="40">
        <v>966</v>
      </c>
      <c r="P111" s="40"/>
      <c r="Q111" s="40">
        <v>1</v>
      </c>
    </row>
    <row r="112" spans="1:17" ht="57.6" customHeight="1">
      <c r="A112" s="40" t="s">
        <v>64</v>
      </c>
      <c r="B112" s="40"/>
      <c r="C112" s="40"/>
      <c r="D112" s="40"/>
      <c r="E112" s="40"/>
      <c r="F112" s="40"/>
      <c r="G112" s="40"/>
      <c r="H112" s="40"/>
      <c r="I112" s="40"/>
      <c r="J112" s="40"/>
      <c r="K112" s="40">
        <v>6</v>
      </c>
      <c r="L112" s="42">
        <v>0.66700000000000004</v>
      </c>
      <c r="M112" s="42">
        <v>0.16700000000000001</v>
      </c>
      <c r="N112" s="40">
        <v>834</v>
      </c>
      <c r="O112" s="40">
        <v>815</v>
      </c>
      <c r="P112" s="40"/>
      <c r="Q112" s="40">
        <v>5</v>
      </c>
    </row>
    <row r="113" spans="1:17" ht="86.45" customHeight="1">
      <c r="A113" s="40" t="s">
        <v>809</v>
      </c>
      <c r="B113" s="40"/>
      <c r="C113" s="40"/>
      <c r="D113" s="40"/>
      <c r="E113" s="40"/>
      <c r="F113" s="40"/>
      <c r="G113" s="40"/>
      <c r="H113" s="40"/>
      <c r="I113" s="40"/>
      <c r="J113" s="40"/>
      <c r="K113" s="40">
        <v>5</v>
      </c>
      <c r="L113" s="42">
        <v>0.8</v>
      </c>
      <c r="M113" s="42">
        <v>0.2</v>
      </c>
      <c r="N113" s="40">
        <v>489</v>
      </c>
      <c r="O113" s="40">
        <v>430</v>
      </c>
      <c r="P113" s="40"/>
      <c r="Q113" s="40">
        <v>4</v>
      </c>
    </row>
    <row r="114" spans="1:17" ht="57.6" customHeight="1">
      <c r="A114" s="40" t="s">
        <v>810</v>
      </c>
      <c r="B114" s="40"/>
      <c r="C114" s="40"/>
      <c r="D114" s="40"/>
      <c r="E114" s="40"/>
      <c r="F114" s="40"/>
      <c r="G114" s="40"/>
      <c r="H114" s="40"/>
      <c r="I114" s="40"/>
      <c r="J114" s="40"/>
      <c r="K114" s="40">
        <v>5</v>
      </c>
      <c r="L114" s="42">
        <v>1</v>
      </c>
      <c r="M114" s="42">
        <v>0.2</v>
      </c>
      <c r="N114" s="40">
        <v>770</v>
      </c>
      <c r="O114" s="40">
        <v>722</v>
      </c>
      <c r="P114" s="40"/>
      <c r="Q114" s="40">
        <v>5</v>
      </c>
    </row>
    <row r="115" spans="1:17" ht="86.45" customHeight="1">
      <c r="A115" s="40" t="s">
        <v>811</v>
      </c>
      <c r="B115" s="40"/>
      <c r="C115" s="40"/>
      <c r="D115" s="40"/>
      <c r="E115" s="40"/>
      <c r="F115" s="40"/>
      <c r="G115" s="40"/>
      <c r="H115" s="40"/>
      <c r="I115" s="40"/>
      <c r="J115" s="40"/>
      <c r="K115" s="40">
        <v>6</v>
      </c>
      <c r="L115" s="42">
        <v>0.66700000000000004</v>
      </c>
      <c r="M115" s="42">
        <v>0.33300000000000002</v>
      </c>
      <c r="N115" s="40">
        <v>713</v>
      </c>
      <c r="O115" s="40">
        <v>622</v>
      </c>
      <c r="P115" s="40"/>
      <c r="Q115" s="40">
        <v>5</v>
      </c>
    </row>
    <row r="116" spans="1:17" ht="72" customHeight="1">
      <c r="A116" s="40" t="s">
        <v>812</v>
      </c>
      <c r="B116" s="40"/>
      <c r="C116" s="40"/>
      <c r="D116" s="40"/>
      <c r="E116" s="40"/>
      <c r="F116" s="40"/>
      <c r="G116" s="40"/>
      <c r="H116" s="40"/>
      <c r="I116" s="40"/>
      <c r="J116" s="40"/>
      <c r="K116" s="40">
        <v>0</v>
      </c>
      <c r="L116" s="42">
        <v>0</v>
      </c>
      <c r="M116" s="42">
        <v>0</v>
      </c>
      <c r="N116" s="40">
        <v>0</v>
      </c>
      <c r="O116" s="40">
        <v>0</v>
      </c>
      <c r="P116" s="40"/>
      <c r="Q116" s="40">
        <v>3</v>
      </c>
    </row>
    <row r="117" spans="1:17" ht="72" customHeight="1">
      <c r="A117" s="40" t="s">
        <v>65</v>
      </c>
      <c r="B117" s="40"/>
      <c r="C117" s="40"/>
      <c r="D117" s="40"/>
      <c r="E117" s="40"/>
      <c r="F117" s="40"/>
      <c r="G117" s="40"/>
      <c r="H117" s="40"/>
      <c r="I117" s="40"/>
      <c r="J117" s="40"/>
      <c r="K117" s="40">
        <v>3</v>
      </c>
      <c r="L117" s="42">
        <v>0.33300000000000002</v>
      </c>
      <c r="M117" s="42">
        <v>0</v>
      </c>
      <c r="N117" s="40">
        <v>784</v>
      </c>
      <c r="O117" s="40">
        <v>793</v>
      </c>
      <c r="P117" s="40"/>
      <c r="Q117" s="40">
        <v>3</v>
      </c>
    </row>
    <row r="118" spans="1:17" ht="57.6" customHeight="1">
      <c r="A118" s="40" t="s">
        <v>66</v>
      </c>
      <c r="B118" s="40"/>
      <c r="C118" s="40"/>
      <c r="D118" s="40"/>
      <c r="E118" s="40"/>
      <c r="F118" s="40"/>
      <c r="G118" s="40"/>
      <c r="H118" s="40"/>
      <c r="I118" s="40"/>
      <c r="J118" s="40"/>
      <c r="K118" s="40">
        <v>9</v>
      </c>
      <c r="L118" s="42">
        <v>0.77800000000000002</v>
      </c>
      <c r="M118" s="42">
        <v>0.222</v>
      </c>
      <c r="N118" s="40">
        <v>612</v>
      </c>
      <c r="O118" s="40">
        <v>582</v>
      </c>
      <c r="P118" s="40"/>
      <c r="Q118" s="40">
        <v>12</v>
      </c>
    </row>
    <row r="119" spans="1:17" ht="72" customHeight="1">
      <c r="A119" s="40" t="s">
        <v>813</v>
      </c>
      <c r="B119" s="40"/>
      <c r="C119" s="40"/>
      <c r="D119" s="40"/>
      <c r="E119" s="40"/>
      <c r="F119" s="40"/>
      <c r="G119" s="40"/>
      <c r="H119" s="40"/>
      <c r="I119" s="40"/>
      <c r="J119" s="40"/>
      <c r="K119" s="40">
        <v>0</v>
      </c>
      <c r="L119" s="42">
        <v>0</v>
      </c>
      <c r="M119" s="42">
        <v>0</v>
      </c>
      <c r="N119" s="40">
        <v>0</v>
      </c>
      <c r="O119" s="40">
        <v>0</v>
      </c>
      <c r="P119" s="40"/>
      <c r="Q119" s="40">
        <v>1</v>
      </c>
    </row>
    <row r="120" spans="1:17" ht="57.6" customHeight="1">
      <c r="A120" s="40" t="s">
        <v>814</v>
      </c>
      <c r="B120" s="40"/>
      <c r="C120" s="40"/>
      <c r="D120" s="40"/>
      <c r="E120" s="40"/>
      <c r="F120" s="40"/>
      <c r="G120" s="40"/>
      <c r="H120" s="40"/>
      <c r="I120" s="40"/>
      <c r="J120" s="40"/>
      <c r="K120" s="40">
        <v>4</v>
      </c>
      <c r="L120" s="42">
        <v>1</v>
      </c>
      <c r="M120" s="42">
        <v>0.75</v>
      </c>
      <c r="N120" s="40">
        <v>1025</v>
      </c>
      <c r="O120" s="40">
        <v>1010</v>
      </c>
      <c r="P120" s="40"/>
      <c r="Q120" s="40">
        <v>1</v>
      </c>
    </row>
    <row r="121" spans="1:17" ht="57.6" customHeight="1">
      <c r="A121" s="40" t="s">
        <v>815</v>
      </c>
      <c r="B121" s="40"/>
      <c r="C121" s="40"/>
      <c r="D121" s="40"/>
      <c r="E121" s="40"/>
      <c r="F121" s="40"/>
      <c r="G121" s="40"/>
      <c r="H121" s="40"/>
      <c r="I121" s="40"/>
      <c r="J121" s="40"/>
      <c r="K121" s="40">
        <v>6</v>
      </c>
      <c r="L121" s="42">
        <v>0.83299999999999996</v>
      </c>
      <c r="M121" s="42">
        <v>0.16700000000000001</v>
      </c>
      <c r="N121" s="40">
        <v>1000</v>
      </c>
      <c r="O121" s="40">
        <v>863</v>
      </c>
      <c r="P121" s="40"/>
      <c r="Q121" s="40">
        <v>5</v>
      </c>
    </row>
    <row r="122" spans="1:17" ht="43.15" customHeight="1">
      <c r="A122" s="40" t="s">
        <v>816</v>
      </c>
      <c r="B122" s="40"/>
      <c r="C122" s="40"/>
      <c r="D122" s="40"/>
      <c r="E122" s="40"/>
      <c r="F122" s="40"/>
      <c r="G122" s="40"/>
      <c r="H122" s="40"/>
      <c r="I122" s="40"/>
      <c r="J122" s="40"/>
      <c r="K122" s="40">
        <v>1</v>
      </c>
      <c r="L122" s="42">
        <v>1</v>
      </c>
      <c r="M122" s="42">
        <v>0</v>
      </c>
      <c r="N122" s="40">
        <v>761</v>
      </c>
      <c r="O122" s="40">
        <v>761</v>
      </c>
      <c r="P122" s="40"/>
      <c r="Q122" s="40">
        <v>1</v>
      </c>
    </row>
    <row r="123" spans="1:17" ht="100.9" customHeight="1">
      <c r="A123" s="40" t="s">
        <v>817</v>
      </c>
      <c r="B123" s="40"/>
      <c r="C123" s="40"/>
      <c r="D123" s="40"/>
      <c r="E123" s="40"/>
      <c r="F123" s="40"/>
      <c r="G123" s="40"/>
      <c r="H123" s="40"/>
      <c r="I123" s="40"/>
      <c r="J123" s="40"/>
      <c r="K123" s="40">
        <v>2</v>
      </c>
      <c r="L123" s="42">
        <v>1</v>
      </c>
      <c r="M123" s="42">
        <v>0.5</v>
      </c>
      <c r="N123" s="40">
        <v>765</v>
      </c>
      <c r="O123" s="40">
        <v>765</v>
      </c>
      <c r="P123" s="40"/>
      <c r="Q123" s="40">
        <v>2</v>
      </c>
    </row>
    <row r="124" spans="1:17" ht="100.9" customHeight="1">
      <c r="A124" s="40" t="s">
        <v>818</v>
      </c>
      <c r="B124" s="40"/>
      <c r="C124" s="40"/>
      <c r="D124" s="40"/>
      <c r="E124" s="40"/>
      <c r="F124" s="40"/>
      <c r="G124" s="40"/>
      <c r="H124" s="40"/>
      <c r="I124" s="40"/>
      <c r="J124" s="40"/>
      <c r="K124" s="40">
        <v>6</v>
      </c>
      <c r="L124" s="42">
        <v>0.83299999999999996</v>
      </c>
      <c r="M124" s="42">
        <v>0.16700000000000001</v>
      </c>
      <c r="N124" s="40">
        <v>910</v>
      </c>
      <c r="O124" s="40">
        <v>919</v>
      </c>
      <c r="P124" s="40"/>
      <c r="Q124" s="40">
        <v>4</v>
      </c>
    </row>
    <row r="125" spans="1:17" ht="43.15" customHeight="1">
      <c r="A125" s="40" t="s">
        <v>819</v>
      </c>
      <c r="B125" s="40"/>
      <c r="C125" s="40"/>
      <c r="D125" s="40"/>
      <c r="E125" s="40"/>
      <c r="F125" s="40"/>
      <c r="G125" s="40"/>
      <c r="H125" s="40"/>
      <c r="I125" s="40"/>
      <c r="J125" s="40"/>
      <c r="K125" s="40">
        <v>1</v>
      </c>
      <c r="L125" s="42">
        <v>1</v>
      </c>
      <c r="M125" s="42">
        <v>0</v>
      </c>
      <c r="N125" s="40">
        <v>949</v>
      </c>
      <c r="O125" s="40">
        <v>949</v>
      </c>
      <c r="P125" s="40"/>
      <c r="Q125" s="40">
        <v>2</v>
      </c>
    </row>
    <row r="126" spans="1:17" ht="43.15" customHeight="1">
      <c r="A126" s="43" t="s">
        <v>803</v>
      </c>
      <c r="B126" s="43">
        <v>1390</v>
      </c>
      <c r="C126" s="44">
        <v>0.71899999999999997</v>
      </c>
      <c r="D126" s="44">
        <v>0.13100000000000001</v>
      </c>
      <c r="E126" s="43">
        <v>1107</v>
      </c>
      <c r="F126" s="44">
        <v>0.71699999999999997</v>
      </c>
      <c r="G126" s="44">
        <v>0.14199999999999999</v>
      </c>
      <c r="H126" s="43">
        <v>1068</v>
      </c>
      <c r="I126" s="44">
        <v>0.71899999999999997</v>
      </c>
      <c r="J126" s="44">
        <v>0.14399999999999999</v>
      </c>
      <c r="K126" s="43">
        <v>130</v>
      </c>
      <c r="L126" s="43"/>
      <c r="M126" s="43"/>
      <c r="N126" s="40"/>
      <c r="O126" s="40"/>
      <c r="P126" s="40"/>
      <c r="Q126" s="43">
        <v>128</v>
      </c>
    </row>
    <row r="127" spans="1:17">
      <c r="A127" s="107" t="s">
        <v>545</v>
      </c>
      <c r="B127" s="106"/>
      <c r="C127" s="106"/>
      <c r="D127" s="106"/>
      <c r="E127" s="106"/>
      <c r="F127" s="106"/>
      <c r="G127" s="106"/>
      <c r="H127" s="106"/>
      <c r="I127" s="106"/>
      <c r="J127" s="106"/>
      <c r="K127" s="106"/>
      <c r="L127" s="106"/>
      <c r="M127" s="106"/>
      <c r="N127" s="106"/>
      <c r="O127" s="106"/>
      <c r="P127" s="106"/>
      <c r="Q127" s="106"/>
    </row>
    <row r="128" spans="1:17">
      <c r="A128" s="106"/>
      <c r="B128" s="106"/>
      <c r="C128" s="106"/>
      <c r="D128" s="106"/>
      <c r="E128" s="106"/>
      <c r="F128" s="106"/>
      <c r="G128" s="106"/>
      <c r="H128" s="106"/>
      <c r="I128" s="106"/>
      <c r="J128" s="106"/>
      <c r="K128" s="106"/>
      <c r="L128" s="106"/>
      <c r="M128" s="106"/>
      <c r="N128" s="106"/>
      <c r="O128" s="106"/>
      <c r="P128" s="106"/>
      <c r="Q128" s="106"/>
    </row>
    <row r="129" spans="1:17" ht="14.45" customHeight="1">
      <c r="A129" s="108" t="s">
        <v>20</v>
      </c>
      <c r="B129" s="105" t="s">
        <v>21</v>
      </c>
      <c r="C129" s="106"/>
      <c r="D129" s="106"/>
      <c r="E129" s="105" t="s">
        <v>22</v>
      </c>
      <c r="F129" s="106"/>
      <c r="G129" s="106"/>
      <c r="H129" s="105" t="s">
        <v>23</v>
      </c>
      <c r="I129" s="106"/>
      <c r="J129" s="106"/>
      <c r="K129" s="105" t="s">
        <v>24</v>
      </c>
      <c r="L129" s="106"/>
      <c r="M129" s="106"/>
      <c r="N129" s="106"/>
      <c r="O129" s="106"/>
      <c r="P129" s="105" t="s">
        <v>25</v>
      </c>
      <c r="Q129" s="105" t="s">
        <v>26</v>
      </c>
    </row>
    <row r="130" spans="1:17">
      <c r="A130" s="106"/>
      <c r="B130" s="40" t="s">
        <v>27</v>
      </c>
      <c r="C130" s="40" t="s">
        <v>28</v>
      </c>
      <c r="D130" s="41">
        <v>46058</v>
      </c>
      <c r="E130" s="40" t="s">
        <v>27</v>
      </c>
      <c r="F130" s="40" t="s">
        <v>28</v>
      </c>
      <c r="G130" s="41">
        <v>46058</v>
      </c>
      <c r="H130" s="40" t="s">
        <v>27</v>
      </c>
      <c r="I130" s="40" t="s">
        <v>28</v>
      </c>
      <c r="J130" s="41">
        <v>46058</v>
      </c>
      <c r="K130" s="40" t="s">
        <v>27</v>
      </c>
      <c r="L130" s="40" t="s">
        <v>28</v>
      </c>
      <c r="M130" s="41">
        <v>46058</v>
      </c>
      <c r="N130" s="40" t="s">
        <v>29</v>
      </c>
      <c r="O130" s="40" t="s">
        <v>30</v>
      </c>
      <c r="P130" s="106"/>
      <c r="Q130" s="106"/>
    </row>
    <row r="131" spans="1:17" ht="43.15" customHeight="1">
      <c r="A131" s="40" t="s">
        <v>820</v>
      </c>
      <c r="B131" s="40">
        <v>1114</v>
      </c>
      <c r="C131" s="42">
        <v>0.61099999999999999</v>
      </c>
      <c r="D131" s="42">
        <v>9.0999999999999998E-2</v>
      </c>
      <c r="E131" s="40">
        <v>1022</v>
      </c>
      <c r="F131" s="42">
        <v>0.60699999999999998</v>
      </c>
      <c r="G131" s="42">
        <v>9.1999999999999998E-2</v>
      </c>
      <c r="H131" s="40">
        <v>691</v>
      </c>
      <c r="I131" s="42">
        <v>0.59599999999999997</v>
      </c>
      <c r="J131" s="42">
        <v>0.10100000000000001</v>
      </c>
      <c r="K131" s="40">
        <v>20</v>
      </c>
      <c r="L131" s="42">
        <v>0.6</v>
      </c>
      <c r="M131" s="42">
        <v>0.1</v>
      </c>
      <c r="N131" s="40">
        <v>404</v>
      </c>
      <c r="O131" s="40">
        <v>379</v>
      </c>
      <c r="P131" s="40"/>
      <c r="Q131" s="40">
        <v>18</v>
      </c>
    </row>
    <row r="132" spans="1:17" ht="72" customHeight="1">
      <c r="A132" s="40" t="s">
        <v>821</v>
      </c>
      <c r="B132" s="40">
        <v>1114</v>
      </c>
      <c r="C132" s="42">
        <v>0.61099999999999999</v>
      </c>
      <c r="D132" s="42">
        <v>9.0999999999999998E-2</v>
      </c>
      <c r="E132" s="40">
        <v>1022</v>
      </c>
      <c r="F132" s="42">
        <v>0.60699999999999998</v>
      </c>
      <c r="G132" s="42">
        <v>9.1999999999999998E-2</v>
      </c>
      <c r="H132" s="40">
        <v>691</v>
      </c>
      <c r="I132" s="42">
        <v>0.59599999999999997</v>
      </c>
      <c r="J132" s="42">
        <v>0.10100000000000001</v>
      </c>
      <c r="K132" s="40">
        <v>3</v>
      </c>
      <c r="L132" s="42">
        <v>0.66700000000000004</v>
      </c>
      <c r="M132" s="42">
        <v>0.33300000000000002</v>
      </c>
      <c r="N132" s="40">
        <v>17</v>
      </c>
      <c r="O132" s="40">
        <v>26</v>
      </c>
      <c r="P132" s="40"/>
      <c r="Q132" s="40">
        <v>3</v>
      </c>
    </row>
    <row r="133" spans="1:17" ht="115.15" customHeight="1">
      <c r="A133" s="40" t="s">
        <v>822</v>
      </c>
      <c r="B133" s="40">
        <v>1114</v>
      </c>
      <c r="C133" s="42">
        <v>0.61099999999999999</v>
      </c>
      <c r="D133" s="42">
        <v>9.0999999999999998E-2</v>
      </c>
      <c r="E133" s="40">
        <v>1022</v>
      </c>
      <c r="F133" s="42">
        <v>0.60699999999999998</v>
      </c>
      <c r="G133" s="42">
        <v>9.1999999999999998E-2</v>
      </c>
      <c r="H133" s="40">
        <v>691</v>
      </c>
      <c r="I133" s="42">
        <v>0.59599999999999997</v>
      </c>
      <c r="J133" s="42">
        <v>0.10100000000000001</v>
      </c>
      <c r="K133" s="40">
        <v>5</v>
      </c>
      <c r="L133" s="42">
        <v>0</v>
      </c>
      <c r="M133" s="42">
        <v>0.4</v>
      </c>
      <c r="N133" s="40">
        <v>637</v>
      </c>
      <c r="O133" s="40">
        <v>607</v>
      </c>
      <c r="P133" s="40"/>
      <c r="Q133" s="40">
        <v>4</v>
      </c>
    </row>
    <row r="134" spans="1:17" ht="129.6" customHeight="1">
      <c r="A134" s="40" t="s">
        <v>823</v>
      </c>
      <c r="B134" s="40"/>
      <c r="C134" s="40"/>
      <c r="D134" s="40"/>
      <c r="E134" s="40"/>
      <c r="F134" s="40"/>
      <c r="G134" s="40"/>
      <c r="H134" s="40"/>
      <c r="I134" s="40"/>
      <c r="J134" s="40"/>
      <c r="K134" s="40">
        <v>6</v>
      </c>
      <c r="L134" s="42">
        <v>0.33300000000000002</v>
      </c>
      <c r="M134" s="42">
        <v>0</v>
      </c>
      <c r="N134" s="40">
        <v>401</v>
      </c>
      <c r="O134" s="40">
        <v>366</v>
      </c>
      <c r="P134" s="40"/>
      <c r="Q134" s="40">
        <v>5</v>
      </c>
    </row>
    <row r="135" spans="1:17" ht="129.6" customHeight="1">
      <c r="A135" s="40" t="s">
        <v>38</v>
      </c>
      <c r="B135" s="40"/>
      <c r="C135" s="40"/>
      <c r="D135" s="40"/>
      <c r="E135" s="40"/>
      <c r="F135" s="40"/>
      <c r="G135" s="40"/>
      <c r="H135" s="40"/>
      <c r="I135" s="40"/>
      <c r="J135" s="40"/>
      <c r="K135" s="40">
        <v>18</v>
      </c>
      <c r="L135" s="42">
        <v>0.38900000000000001</v>
      </c>
      <c r="M135" s="42">
        <v>0.111</v>
      </c>
      <c r="N135" s="40">
        <v>297</v>
      </c>
      <c r="O135" s="40">
        <v>273</v>
      </c>
      <c r="P135" s="40"/>
      <c r="Q135" s="40">
        <v>20</v>
      </c>
    </row>
    <row r="136" spans="1:17" ht="144" customHeight="1">
      <c r="A136" s="40" t="s">
        <v>824</v>
      </c>
      <c r="B136" s="40"/>
      <c r="C136" s="40"/>
      <c r="D136" s="40"/>
      <c r="E136" s="40"/>
      <c r="F136" s="40"/>
      <c r="G136" s="40"/>
      <c r="H136" s="40"/>
      <c r="I136" s="40"/>
      <c r="J136" s="40"/>
      <c r="K136" s="40">
        <v>8</v>
      </c>
      <c r="L136" s="42">
        <v>0.625</v>
      </c>
      <c r="M136" s="42">
        <v>0</v>
      </c>
      <c r="N136" s="40">
        <v>188</v>
      </c>
      <c r="O136" s="40">
        <v>213</v>
      </c>
      <c r="P136" s="40"/>
      <c r="Q136" s="40">
        <v>8</v>
      </c>
    </row>
    <row r="137" spans="1:17" ht="43.15" customHeight="1">
      <c r="A137" s="43" t="s">
        <v>825</v>
      </c>
      <c r="B137" s="43">
        <v>1114</v>
      </c>
      <c r="C137" s="44">
        <v>0.61099999999999999</v>
      </c>
      <c r="D137" s="44">
        <v>9.0999999999999998E-2</v>
      </c>
      <c r="E137" s="43">
        <v>1022</v>
      </c>
      <c r="F137" s="44">
        <v>0.60699999999999998</v>
      </c>
      <c r="G137" s="44">
        <v>9.1999999999999998E-2</v>
      </c>
      <c r="H137" s="43">
        <v>691</v>
      </c>
      <c r="I137" s="44">
        <v>0.59599999999999997</v>
      </c>
      <c r="J137" s="44">
        <v>0.10100000000000001</v>
      </c>
      <c r="K137" s="43">
        <v>32</v>
      </c>
      <c r="L137" s="43"/>
      <c r="M137" s="43"/>
      <c r="N137" s="40"/>
      <c r="O137" s="40"/>
      <c r="P137" s="40"/>
      <c r="Q137" s="43">
        <v>33</v>
      </c>
    </row>
    <row r="138" spans="1:17" ht="30">
      <c r="A138" s="40" t="s">
        <v>826</v>
      </c>
      <c r="B138" s="40">
        <v>1114</v>
      </c>
      <c r="C138" s="42">
        <v>0.61099999999999999</v>
      </c>
      <c r="D138" s="42">
        <v>9.0999999999999998E-2</v>
      </c>
      <c r="E138" s="40">
        <v>1022</v>
      </c>
      <c r="F138" s="42">
        <v>0.60699999999999998</v>
      </c>
      <c r="G138" s="42">
        <v>9.1999999999999998E-2</v>
      </c>
      <c r="H138" s="40">
        <v>691</v>
      </c>
      <c r="I138" s="42">
        <v>0.59599999999999997</v>
      </c>
      <c r="J138" s="42">
        <v>0.10100000000000001</v>
      </c>
      <c r="K138" s="40">
        <v>71</v>
      </c>
      <c r="L138" s="42">
        <v>0.42299999999999999</v>
      </c>
      <c r="M138" s="42">
        <v>5.6000000000000001E-2</v>
      </c>
      <c r="N138" s="40">
        <v>190</v>
      </c>
      <c r="O138" s="40">
        <v>187</v>
      </c>
      <c r="P138" s="40"/>
      <c r="Q138" s="40">
        <v>70</v>
      </c>
    </row>
    <row r="139" spans="1:17" ht="57.6" customHeight="1">
      <c r="A139" s="40" t="s">
        <v>827</v>
      </c>
      <c r="B139" s="40"/>
      <c r="C139" s="40"/>
      <c r="D139" s="40"/>
      <c r="E139" s="40"/>
      <c r="F139" s="40"/>
      <c r="G139" s="40"/>
      <c r="H139" s="40"/>
      <c r="I139" s="40"/>
      <c r="J139" s="40"/>
      <c r="K139" s="40">
        <v>4</v>
      </c>
      <c r="L139" s="42">
        <v>0.5</v>
      </c>
      <c r="M139" s="42">
        <v>0</v>
      </c>
      <c r="N139" s="40">
        <v>544</v>
      </c>
      <c r="O139" s="40">
        <v>551</v>
      </c>
      <c r="P139" s="40"/>
      <c r="Q139" s="40">
        <v>3</v>
      </c>
    </row>
    <row r="140" spans="1:17" ht="86.45" customHeight="1">
      <c r="A140" s="40" t="s">
        <v>828</v>
      </c>
      <c r="B140" s="40"/>
      <c r="C140" s="40"/>
      <c r="D140" s="40"/>
      <c r="E140" s="40"/>
      <c r="F140" s="40"/>
      <c r="G140" s="40"/>
      <c r="H140" s="40"/>
      <c r="I140" s="40"/>
      <c r="J140" s="40"/>
      <c r="K140" s="40">
        <v>2</v>
      </c>
      <c r="L140" s="42">
        <v>0.5</v>
      </c>
      <c r="M140" s="42">
        <v>0</v>
      </c>
      <c r="N140" s="40">
        <v>366</v>
      </c>
      <c r="O140" s="40">
        <v>366</v>
      </c>
      <c r="P140" s="40"/>
      <c r="Q140" s="40">
        <v>4</v>
      </c>
    </row>
    <row r="141" spans="1:17" ht="57.6" customHeight="1">
      <c r="A141" s="43" t="s">
        <v>829</v>
      </c>
      <c r="B141" s="43">
        <v>1114</v>
      </c>
      <c r="C141" s="44">
        <v>0.61099999999999999</v>
      </c>
      <c r="D141" s="44">
        <v>9.0999999999999998E-2</v>
      </c>
      <c r="E141" s="43">
        <v>1022</v>
      </c>
      <c r="F141" s="44">
        <v>0.60699999999999998</v>
      </c>
      <c r="G141" s="44">
        <v>9.1999999999999998E-2</v>
      </c>
      <c r="H141" s="43">
        <v>691</v>
      </c>
      <c r="I141" s="44">
        <v>0.59599999999999997</v>
      </c>
      <c r="J141" s="44">
        <v>0.10100000000000001</v>
      </c>
      <c r="K141" s="43">
        <v>6</v>
      </c>
      <c r="L141" s="43"/>
      <c r="M141" s="43"/>
      <c r="N141" s="40"/>
      <c r="O141" s="40"/>
      <c r="P141" s="40"/>
      <c r="Q141" s="43">
        <v>7</v>
      </c>
    </row>
    <row r="142" spans="1:17" ht="57.6" customHeight="1">
      <c r="A142" s="40" t="s">
        <v>830</v>
      </c>
      <c r="B142" s="40"/>
      <c r="C142" s="40"/>
      <c r="D142" s="40"/>
      <c r="E142" s="40"/>
      <c r="F142" s="40"/>
      <c r="G142" s="40"/>
      <c r="H142" s="40"/>
      <c r="I142" s="40"/>
      <c r="J142" s="40"/>
      <c r="K142" s="40">
        <v>7</v>
      </c>
      <c r="L142" s="42">
        <v>0.71399999999999997</v>
      </c>
      <c r="M142" s="42">
        <v>0</v>
      </c>
      <c r="N142" s="40">
        <v>640</v>
      </c>
      <c r="O142" s="40">
        <v>634</v>
      </c>
      <c r="P142" s="40"/>
      <c r="Q142" s="40">
        <v>8</v>
      </c>
    </row>
    <row r="143" spans="1:17" ht="72" customHeight="1">
      <c r="A143" s="40" t="s">
        <v>831</v>
      </c>
      <c r="B143" s="40"/>
      <c r="C143" s="40"/>
      <c r="D143" s="40"/>
      <c r="E143" s="40"/>
      <c r="F143" s="40"/>
      <c r="G143" s="40"/>
      <c r="H143" s="40"/>
      <c r="I143" s="40"/>
      <c r="J143" s="40"/>
      <c r="K143" s="40">
        <v>11</v>
      </c>
      <c r="L143" s="42">
        <v>0.54500000000000004</v>
      </c>
      <c r="M143" s="42">
        <v>0.182</v>
      </c>
      <c r="N143" s="40">
        <v>604</v>
      </c>
      <c r="O143" s="40">
        <v>586</v>
      </c>
      <c r="P143" s="40"/>
      <c r="Q143" s="40">
        <v>8</v>
      </c>
    </row>
    <row r="144" spans="1:17" ht="43.15" customHeight="1">
      <c r="A144" s="43" t="s">
        <v>832</v>
      </c>
      <c r="B144" s="43">
        <v>1114</v>
      </c>
      <c r="C144" s="44">
        <v>0.61099999999999999</v>
      </c>
      <c r="D144" s="44">
        <v>9.0999999999999998E-2</v>
      </c>
      <c r="E144" s="43">
        <v>1022</v>
      </c>
      <c r="F144" s="44">
        <v>0.60699999999999998</v>
      </c>
      <c r="G144" s="44">
        <v>9.1999999999999998E-2</v>
      </c>
      <c r="H144" s="43">
        <v>691</v>
      </c>
      <c r="I144" s="44">
        <v>0.59599999999999997</v>
      </c>
      <c r="J144" s="44">
        <v>0.10100000000000001</v>
      </c>
      <c r="K144" s="43">
        <v>18</v>
      </c>
      <c r="L144" s="43"/>
      <c r="M144" s="43"/>
      <c r="N144" s="40"/>
      <c r="O144" s="40"/>
      <c r="P144" s="40"/>
      <c r="Q144" s="43">
        <v>16</v>
      </c>
    </row>
    <row r="145" spans="1:17" ht="72" customHeight="1">
      <c r="A145" s="40" t="s">
        <v>833</v>
      </c>
      <c r="B145" s="40"/>
      <c r="C145" s="40"/>
      <c r="D145" s="40"/>
      <c r="E145" s="40"/>
      <c r="F145" s="40"/>
      <c r="G145" s="40"/>
      <c r="H145" s="40"/>
      <c r="I145" s="40"/>
      <c r="J145" s="40"/>
      <c r="K145" s="40">
        <v>0</v>
      </c>
      <c r="L145" s="42">
        <v>0</v>
      </c>
      <c r="M145" s="42">
        <v>0</v>
      </c>
      <c r="N145" s="40">
        <v>0</v>
      </c>
      <c r="O145" s="40">
        <v>0</v>
      </c>
      <c r="P145" s="40"/>
      <c r="Q145" s="40">
        <v>3</v>
      </c>
    </row>
    <row r="146" spans="1:17" ht="100.9" customHeight="1">
      <c r="A146" s="40" t="s">
        <v>834</v>
      </c>
      <c r="B146" s="40"/>
      <c r="C146" s="40"/>
      <c r="D146" s="40"/>
      <c r="E146" s="40"/>
      <c r="F146" s="40"/>
      <c r="G146" s="40"/>
      <c r="H146" s="40"/>
      <c r="I146" s="40"/>
      <c r="J146" s="40"/>
      <c r="K146" s="40">
        <v>7</v>
      </c>
      <c r="L146" s="42">
        <v>0.85699999999999998</v>
      </c>
      <c r="M146" s="42">
        <v>0.14299999999999999</v>
      </c>
      <c r="N146" s="40">
        <v>612</v>
      </c>
      <c r="O146" s="40">
        <v>606</v>
      </c>
      <c r="P146" s="40"/>
      <c r="Q146" s="40">
        <v>6</v>
      </c>
    </row>
    <row r="147" spans="1:17" ht="43.15" customHeight="1">
      <c r="A147" s="43" t="s">
        <v>835</v>
      </c>
      <c r="B147" s="43">
        <v>1114</v>
      </c>
      <c r="C147" s="44">
        <v>0.61099999999999999</v>
      </c>
      <c r="D147" s="44">
        <v>9.0999999999999998E-2</v>
      </c>
      <c r="E147" s="43">
        <v>1022</v>
      </c>
      <c r="F147" s="44">
        <v>0.60699999999999998</v>
      </c>
      <c r="G147" s="44">
        <v>9.1999999999999998E-2</v>
      </c>
      <c r="H147" s="43">
        <v>691</v>
      </c>
      <c r="I147" s="44">
        <v>0.59599999999999997</v>
      </c>
      <c r="J147" s="44">
        <v>0.10100000000000001</v>
      </c>
      <c r="K147" s="43">
        <v>7</v>
      </c>
      <c r="L147" s="43"/>
      <c r="M147" s="43"/>
      <c r="N147" s="40"/>
      <c r="O147" s="40"/>
      <c r="P147" s="40"/>
      <c r="Q147" s="43">
        <v>9</v>
      </c>
    </row>
    <row r="148" spans="1:17" ht="28.9" customHeight="1">
      <c r="A148" s="40" t="s">
        <v>836</v>
      </c>
      <c r="B148" s="40">
        <v>1114</v>
      </c>
      <c r="C148" s="42">
        <v>0.61099999999999999</v>
      </c>
      <c r="D148" s="42">
        <v>9.0999999999999998E-2</v>
      </c>
      <c r="E148" s="40">
        <v>1022</v>
      </c>
      <c r="F148" s="42">
        <v>0.60699999999999998</v>
      </c>
      <c r="G148" s="42">
        <v>9.1999999999999998E-2</v>
      </c>
      <c r="H148" s="40">
        <v>691</v>
      </c>
      <c r="I148" s="42">
        <v>0.59599999999999997</v>
      </c>
      <c r="J148" s="42">
        <v>0.10100000000000001</v>
      </c>
      <c r="K148" s="40">
        <v>20</v>
      </c>
      <c r="L148" s="42">
        <v>0.45</v>
      </c>
      <c r="M148" s="42">
        <v>0.05</v>
      </c>
      <c r="N148" s="40">
        <v>467</v>
      </c>
      <c r="O148" s="40">
        <v>457</v>
      </c>
      <c r="P148" s="40"/>
      <c r="Q148" s="40">
        <v>23</v>
      </c>
    </row>
    <row r="149" spans="1:17" ht="57.6" customHeight="1">
      <c r="A149" s="40" t="s">
        <v>837</v>
      </c>
      <c r="B149" s="40"/>
      <c r="C149" s="40"/>
      <c r="D149" s="40"/>
      <c r="E149" s="40"/>
      <c r="F149" s="40"/>
      <c r="G149" s="40"/>
      <c r="H149" s="40"/>
      <c r="I149" s="40"/>
      <c r="J149" s="40"/>
      <c r="K149" s="40">
        <v>2</v>
      </c>
      <c r="L149" s="42">
        <v>0.5</v>
      </c>
      <c r="M149" s="42">
        <v>0</v>
      </c>
      <c r="N149" s="40">
        <v>629</v>
      </c>
      <c r="O149" s="40">
        <v>629</v>
      </c>
      <c r="P149" s="40"/>
      <c r="Q149" s="40">
        <v>3</v>
      </c>
    </row>
    <row r="150" spans="1:17" ht="28.9" customHeight="1">
      <c r="A150" s="40" t="s">
        <v>838</v>
      </c>
      <c r="B150" s="40"/>
      <c r="C150" s="40"/>
      <c r="D150" s="40"/>
      <c r="E150" s="40"/>
      <c r="F150" s="40"/>
      <c r="G150" s="40"/>
      <c r="H150" s="40"/>
      <c r="I150" s="40"/>
      <c r="J150" s="40"/>
      <c r="K150" s="40">
        <v>6</v>
      </c>
      <c r="L150" s="42">
        <v>0.66700000000000004</v>
      </c>
      <c r="M150" s="42">
        <v>0</v>
      </c>
      <c r="N150" s="40">
        <v>539</v>
      </c>
      <c r="O150" s="40">
        <v>424</v>
      </c>
      <c r="P150" s="40"/>
      <c r="Q150" s="40">
        <v>5</v>
      </c>
    </row>
    <row r="151" spans="1:17" ht="43.15" customHeight="1">
      <c r="A151" s="43" t="s">
        <v>839</v>
      </c>
      <c r="B151" s="43">
        <v>1114</v>
      </c>
      <c r="C151" s="44">
        <v>0.61099999999999999</v>
      </c>
      <c r="D151" s="44">
        <v>9.0999999999999998E-2</v>
      </c>
      <c r="E151" s="43">
        <v>1022</v>
      </c>
      <c r="F151" s="44">
        <v>0.60699999999999998</v>
      </c>
      <c r="G151" s="44">
        <v>9.1999999999999998E-2</v>
      </c>
      <c r="H151" s="43">
        <v>691</v>
      </c>
      <c r="I151" s="44">
        <v>0.59599999999999997</v>
      </c>
      <c r="J151" s="44">
        <v>0.10100000000000001</v>
      </c>
      <c r="K151" s="43">
        <v>8</v>
      </c>
      <c r="L151" s="43"/>
      <c r="M151" s="43"/>
      <c r="N151" s="40"/>
      <c r="O151" s="40"/>
      <c r="P151" s="40"/>
      <c r="Q151" s="43">
        <v>8</v>
      </c>
    </row>
    <row r="152" spans="1:17" ht="43.15" customHeight="1">
      <c r="A152" s="40" t="s">
        <v>840</v>
      </c>
      <c r="B152" s="40">
        <v>1114</v>
      </c>
      <c r="C152" s="42">
        <v>0.61099999999999999</v>
      </c>
      <c r="D152" s="42">
        <v>9.0999999999999998E-2</v>
      </c>
      <c r="E152" s="40">
        <v>1022</v>
      </c>
      <c r="F152" s="42">
        <v>0.60699999999999998</v>
      </c>
      <c r="G152" s="42">
        <v>9.1999999999999998E-2</v>
      </c>
      <c r="H152" s="40">
        <v>691</v>
      </c>
      <c r="I152" s="42">
        <v>0.59599999999999997</v>
      </c>
      <c r="J152" s="42">
        <v>0.10100000000000001</v>
      </c>
      <c r="K152" s="40">
        <v>26</v>
      </c>
      <c r="L152" s="42">
        <v>0.53800000000000003</v>
      </c>
      <c r="M152" s="42">
        <v>0.192</v>
      </c>
      <c r="N152" s="40">
        <v>411</v>
      </c>
      <c r="O152" s="40">
        <v>400</v>
      </c>
      <c r="P152" s="40"/>
      <c r="Q152" s="40">
        <v>26</v>
      </c>
    </row>
    <row r="153" spans="1:17" ht="28.9" customHeight="1">
      <c r="A153" s="40" t="s">
        <v>703</v>
      </c>
      <c r="B153" s="40">
        <v>1114</v>
      </c>
      <c r="C153" s="42">
        <v>0.61099999999999999</v>
      </c>
      <c r="D153" s="42">
        <v>9.0999999999999998E-2</v>
      </c>
      <c r="E153" s="40">
        <v>1022</v>
      </c>
      <c r="F153" s="42">
        <v>0.60699999999999998</v>
      </c>
      <c r="G153" s="42">
        <v>9.1999999999999998E-2</v>
      </c>
      <c r="H153" s="40">
        <v>691</v>
      </c>
      <c r="I153" s="42">
        <v>0.59599999999999997</v>
      </c>
      <c r="J153" s="42">
        <v>0.10100000000000001</v>
      </c>
      <c r="K153" s="40">
        <v>14</v>
      </c>
      <c r="L153" s="42">
        <v>0.57099999999999995</v>
      </c>
      <c r="M153" s="42">
        <v>0</v>
      </c>
      <c r="N153" s="40">
        <v>205</v>
      </c>
      <c r="O153" s="40">
        <v>208</v>
      </c>
      <c r="P153" s="40"/>
      <c r="Q153" s="40">
        <v>13</v>
      </c>
    </row>
    <row r="154" spans="1:17" ht="28.9" customHeight="1">
      <c r="A154" s="40" t="s">
        <v>841</v>
      </c>
      <c r="B154" s="40">
        <v>1114</v>
      </c>
      <c r="C154" s="42">
        <v>0.61099999999999999</v>
      </c>
      <c r="D154" s="42">
        <v>9.0999999999999998E-2</v>
      </c>
      <c r="E154" s="40">
        <v>1022</v>
      </c>
      <c r="F154" s="42">
        <v>0.60699999999999998</v>
      </c>
      <c r="G154" s="42">
        <v>9.1999999999999998E-2</v>
      </c>
      <c r="H154" s="40">
        <v>691</v>
      </c>
      <c r="I154" s="42">
        <v>0.59599999999999997</v>
      </c>
      <c r="J154" s="42">
        <v>0.10100000000000001</v>
      </c>
      <c r="K154" s="40">
        <v>3</v>
      </c>
      <c r="L154" s="42">
        <v>0.33300000000000002</v>
      </c>
      <c r="M154" s="42">
        <v>0</v>
      </c>
      <c r="N154" s="40">
        <v>683</v>
      </c>
      <c r="O154" s="40">
        <v>603</v>
      </c>
      <c r="P154" s="40"/>
      <c r="Q154" s="40">
        <v>5</v>
      </c>
    </row>
    <row r="155" spans="1:17" ht="28.9" customHeight="1">
      <c r="A155" s="40" t="s">
        <v>667</v>
      </c>
      <c r="B155" s="40"/>
      <c r="C155" s="40"/>
      <c r="D155" s="40"/>
      <c r="E155" s="40"/>
      <c r="F155" s="40"/>
      <c r="G155" s="40"/>
      <c r="H155" s="40"/>
      <c r="I155" s="40"/>
      <c r="J155" s="40"/>
      <c r="K155" s="40">
        <v>7</v>
      </c>
      <c r="L155" s="42">
        <v>0.71399999999999997</v>
      </c>
      <c r="M155" s="42">
        <v>0.14299999999999999</v>
      </c>
      <c r="N155" s="40">
        <v>219</v>
      </c>
      <c r="O155" s="40">
        <v>233</v>
      </c>
      <c r="P155" s="40"/>
      <c r="Q155" s="40">
        <v>7</v>
      </c>
    </row>
    <row r="156" spans="1:17" ht="28.9" customHeight="1">
      <c r="A156" s="40" t="s">
        <v>672</v>
      </c>
      <c r="B156" s="40"/>
      <c r="C156" s="40"/>
      <c r="D156" s="40"/>
      <c r="E156" s="40"/>
      <c r="F156" s="40"/>
      <c r="G156" s="40"/>
      <c r="H156" s="40"/>
      <c r="I156" s="40"/>
      <c r="J156" s="40"/>
      <c r="K156" s="40">
        <v>7</v>
      </c>
      <c r="L156" s="42">
        <v>0.28599999999999998</v>
      </c>
      <c r="M156" s="42">
        <v>0.14299999999999999</v>
      </c>
      <c r="N156" s="40">
        <v>137</v>
      </c>
      <c r="O156" s="40">
        <v>123</v>
      </c>
      <c r="P156" s="40"/>
      <c r="Q156" s="40">
        <v>6</v>
      </c>
    </row>
    <row r="157" spans="1:17" ht="28.9" customHeight="1">
      <c r="A157" s="40" t="s">
        <v>842</v>
      </c>
      <c r="B157" s="40"/>
      <c r="C157" s="40"/>
      <c r="D157" s="40"/>
      <c r="E157" s="40"/>
      <c r="F157" s="40"/>
      <c r="G157" s="40"/>
      <c r="H157" s="40"/>
      <c r="I157" s="40"/>
      <c r="J157" s="40"/>
      <c r="K157" s="40">
        <v>5</v>
      </c>
      <c r="L157" s="42">
        <v>0.4</v>
      </c>
      <c r="M157" s="42">
        <v>0.2</v>
      </c>
      <c r="N157" s="40">
        <v>150</v>
      </c>
      <c r="O157" s="40">
        <v>155</v>
      </c>
      <c r="P157" s="40"/>
      <c r="Q157" s="40">
        <v>4</v>
      </c>
    </row>
    <row r="158" spans="1:17" ht="57.6" customHeight="1">
      <c r="A158" s="43" t="s">
        <v>843</v>
      </c>
      <c r="B158" s="43">
        <v>1114</v>
      </c>
      <c r="C158" s="44">
        <v>0.61099999999999999</v>
      </c>
      <c r="D158" s="44">
        <v>9.0999999999999998E-2</v>
      </c>
      <c r="E158" s="43">
        <v>1022</v>
      </c>
      <c r="F158" s="44">
        <v>0.60699999999999998</v>
      </c>
      <c r="G158" s="44">
        <v>9.1999999999999998E-2</v>
      </c>
      <c r="H158" s="43">
        <v>691</v>
      </c>
      <c r="I158" s="44">
        <v>0.59599999999999997</v>
      </c>
      <c r="J158" s="44">
        <v>0.10100000000000001</v>
      </c>
      <c r="K158" s="43">
        <v>19</v>
      </c>
      <c r="L158" s="43"/>
      <c r="M158" s="43"/>
      <c r="N158" s="40"/>
      <c r="O158" s="40"/>
      <c r="P158" s="40"/>
      <c r="Q158" s="43">
        <v>17</v>
      </c>
    </row>
    <row r="159" spans="1:17">
      <c r="A159" s="107" t="s">
        <v>46</v>
      </c>
      <c r="B159" s="106"/>
      <c r="C159" s="106"/>
      <c r="D159" s="106"/>
      <c r="E159" s="106"/>
      <c r="F159" s="106"/>
      <c r="G159" s="106"/>
      <c r="H159" s="106"/>
      <c r="I159" s="106"/>
      <c r="J159" s="106"/>
      <c r="K159" s="106"/>
      <c r="L159" s="106"/>
      <c r="M159" s="106"/>
      <c r="N159" s="106"/>
      <c r="O159" s="106"/>
      <c r="P159" s="106"/>
      <c r="Q159" s="106"/>
    </row>
    <row r="160" spans="1:17">
      <c r="A160" s="106"/>
      <c r="B160" s="106"/>
      <c r="C160" s="106"/>
      <c r="D160" s="106"/>
      <c r="E160" s="106"/>
      <c r="F160" s="106"/>
      <c r="G160" s="106"/>
      <c r="H160" s="106"/>
      <c r="I160" s="106"/>
      <c r="J160" s="106"/>
      <c r="K160" s="106"/>
      <c r="L160" s="106"/>
      <c r="M160" s="106"/>
      <c r="N160" s="106"/>
      <c r="O160" s="106"/>
      <c r="P160" s="106"/>
      <c r="Q160" s="106"/>
    </row>
    <row r="161" spans="1:17" ht="14.45" customHeight="1">
      <c r="A161" s="108" t="s">
        <v>20</v>
      </c>
      <c r="B161" s="105" t="s">
        <v>21</v>
      </c>
      <c r="C161" s="106"/>
      <c r="D161" s="106"/>
      <c r="E161" s="105" t="s">
        <v>22</v>
      </c>
      <c r="F161" s="106"/>
      <c r="G161" s="106"/>
      <c r="H161" s="105" t="s">
        <v>23</v>
      </c>
      <c r="I161" s="106"/>
      <c r="J161" s="106"/>
      <c r="K161" s="105" t="s">
        <v>24</v>
      </c>
      <c r="L161" s="106"/>
      <c r="M161" s="106"/>
      <c r="N161" s="106"/>
      <c r="O161" s="106"/>
      <c r="P161" s="105" t="s">
        <v>25</v>
      </c>
      <c r="Q161" s="105" t="s">
        <v>26</v>
      </c>
    </row>
    <row r="162" spans="1:17">
      <c r="A162" s="106"/>
      <c r="B162" s="40" t="s">
        <v>27</v>
      </c>
      <c r="C162" s="40" t="s">
        <v>28</v>
      </c>
      <c r="D162" s="41">
        <v>46058</v>
      </c>
      <c r="E162" s="40" t="s">
        <v>27</v>
      </c>
      <c r="F162" s="40" t="s">
        <v>28</v>
      </c>
      <c r="G162" s="41">
        <v>46058</v>
      </c>
      <c r="H162" s="40" t="s">
        <v>27</v>
      </c>
      <c r="I162" s="40" t="s">
        <v>28</v>
      </c>
      <c r="J162" s="41">
        <v>46058</v>
      </c>
      <c r="K162" s="40" t="s">
        <v>27</v>
      </c>
      <c r="L162" s="40" t="s">
        <v>28</v>
      </c>
      <c r="M162" s="41">
        <v>46058</v>
      </c>
      <c r="N162" s="40" t="s">
        <v>29</v>
      </c>
      <c r="O162" s="40" t="s">
        <v>30</v>
      </c>
      <c r="P162" s="106"/>
      <c r="Q162" s="106"/>
    </row>
    <row r="163" spans="1:17" ht="28.9" customHeight="1">
      <c r="A163" s="40" t="s">
        <v>46</v>
      </c>
      <c r="B163" s="40">
        <v>304</v>
      </c>
      <c r="C163" s="42">
        <v>0.61799999999999999</v>
      </c>
      <c r="D163" s="42">
        <v>8.2000000000000003E-2</v>
      </c>
      <c r="E163" s="40">
        <v>254</v>
      </c>
      <c r="F163" s="42">
        <v>0.622</v>
      </c>
      <c r="G163" s="42">
        <v>9.8000000000000004E-2</v>
      </c>
      <c r="H163" s="40">
        <v>52</v>
      </c>
      <c r="I163" s="42">
        <v>0.55800000000000005</v>
      </c>
      <c r="J163" s="42">
        <v>0.154</v>
      </c>
      <c r="K163" s="40">
        <v>11</v>
      </c>
      <c r="L163" s="42">
        <v>0.54500000000000004</v>
      </c>
      <c r="M163" s="42">
        <v>0.182</v>
      </c>
      <c r="N163" s="40">
        <v>30</v>
      </c>
      <c r="O163" s="40">
        <v>30</v>
      </c>
      <c r="P163" s="40"/>
      <c r="Q163" s="40">
        <v>13</v>
      </c>
    </row>
    <row r="164" spans="1:17">
      <c r="A164" s="107" t="s">
        <v>69</v>
      </c>
      <c r="B164" s="106"/>
      <c r="C164" s="106"/>
      <c r="D164" s="106"/>
      <c r="E164" s="106"/>
      <c r="F164" s="106"/>
      <c r="G164" s="106"/>
      <c r="H164" s="106"/>
      <c r="I164" s="106"/>
      <c r="J164" s="106"/>
      <c r="K164" s="106"/>
      <c r="L164" s="106"/>
      <c r="M164" s="106"/>
      <c r="N164" s="106"/>
      <c r="O164" s="106"/>
      <c r="P164" s="106"/>
      <c r="Q164" s="106"/>
    </row>
    <row r="165" spans="1:17">
      <c r="A165" s="106"/>
      <c r="B165" s="106"/>
      <c r="C165" s="106"/>
      <c r="D165" s="106"/>
      <c r="E165" s="106"/>
      <c r="F165" s="106"/>
      <c r="G165" s="106"/>
      <c r="H165" s="106"/>
      <c r="I165" s="106"/>
      <c r="J165" s="106"/>
      <c r="K165" s="106"/>
      <c r="L165" s="106"/>
      <c r="M165" s="106"/>
      <c r="N165" s="106"/>
      <c r="O165" s="106"/>
      <c r="P165" s="106"/>
      <c r="Q165" s="106"/>
    </row>
    <row r="166" spans="1:17" ht="14.45" customHeight="1">
      <c r="A166" s="108" t="s">
        <v>20</v>
      </c>
      <c r="B166" s="105" t="s">
        <v>21</v>
      </c>
      <c r="C166" s="106"/>
      <c r="D166" s="106"/>
      <c r="E166" s="105" t="s">
        <v>22</v>
      </c>
      <c r="F166" s="106"/>
      <c r="G166" s="106"/>
      <c r="H166" s="105" t="s">
        <v>23</v>
      </c>
      <c r="I166" s="106"/>
      <c r="J166" s="106"/>
      <c r="K166" s="105" t="s">
        <v>24</v>
      </c>
      <c r="L166" s="106"/>
      <c r="M166" s="106"/>
      <c r="N166" s="106"/>
      <c r="O166" s="106"/>
      <c r="P166" s="105" t="s">
        <v>25</v>
      </c>
      <c r="Q166" s="105" t="s">
        <v>26</v>
      </c>
    </row>
    <row r="167" spans="1:17">
      <c r="A167" s="106"/>
      <c r="B167" s="40" t="s">
        <v>27</v>
      </c>
      <c r="C167" s="40" t="s">
        <v>28</v>
      </c>
      <c r="D167" s="41">
        <v>46058</v>
      </c>
      <c r="E167" s="40" t="s">
        <v>27</v>
      </c>
      <c r="F167" s="40" t="s">
        <v>28</v>
      </c>
      <c r="G167" s="41">
        <v>46058</v>
      </c>
      <c r="H167" s="40" t="s">
        <v>27</v>
      </c>
      <c r="I167" s="40" t="s">
        <v>28</v>
      </c>
      <c r="J167" s="41">
        <v>46058</v>
      </c>
      <c r="K167" s="40" t="s">
        <v>27</v>
      </c>
      <c r="L167" s="40" t="s">
        <v>28</v>
      </c>
      <c r="M167" s="41">
        <v>46058</v>
      </c>
      <c r="N167" s="40" t="s">
        <v>29</v>
      </c>
      <c r="O167" s="40" t="s">
        <v>30</v>
      </c>
      <c r="P167" s="106"/>
      <c r="Q167" s="106"/>
    </row>
    <row r="168" spans="1:17" ht="72" customHeight="1">
      <c r="A168" s="40" t="s">
        <v>844</v>
      </c>
      <c r="B168" s="40"/>
      <c r="C168" s="40"/>
      <c r="D168" s="40"/>
      <c r="E168" s="40"/>
      <c r="F168" s="40"/>
      <c r="G168" s="40"/>
      <c r="H168" s="40"/>
      <c r="I168" s="40"/>
      <c r="J168" s="40"/>
      <c r="K168" s="40">
        <v>2</v>
      </c>
      <c r="L168" s="42">
        <v>0.5</v>
      </c>
      <c r="M168" s="42">
        <v>0</v>
      </c>
      <c r="N168" s="40">
        <v>257</v>
      </c>
      <c r="O168" s="40">
        <v>257</v>
      </c>
      <c r="P168" s="40"/>
      <c r="Q168" s="40">
        <v>6</v>
      </c>
    </row>
    <row r="169" spans="1:17" ht="57.6" customHeight="1">
      <c r="A169" s="40" t="s">
        <v>70</v>
      </c>
      <c r="B169" s="40"/>
      <c r="C169" s="40"/>
      <c r="D169" s="40"/>
      <c r="E169" s="40"/>
      <c r="F169" s="40"/>
      <c r="G169" s="40"/>
      <c r="H169" s="40"/>
      <c r="I169" s="40"/>
      <c r="J169" s="40"/>
      <c r="K169" s="40">
        <v>2</v>
      </c>
      <c r="L169" s="42">
        <v>1</v>
      </c>
      <c r="M169" s="42">
        <v>0</v>
      </c>
      <c r="N169" s="40">
        <v>157</v>
      </c>
      <c r="O169" s="40">
        <v>157</v>
      </c>
      <c r="P169" s="40"/>
      <c r="Q169" s="40">
        <v>3</v>
      </c>
    </row>
    <row r="170" spans="1:17" ht="72" customHeight="1">
      <c r="A170" s="40" t="s">
        <v>71</v>
      </c>
      <c r="B170" s="40"/>
      <c r="C170" s="40"/>
      <c r="D170" s="40"/>
      <c r="E170" s="40"/>
      <c r="F170" s="40"/>
      <c r="G170" s="40"/>
      <c r="H170" s="40"/>
      <c r="I170" s="40"/>
      <c r="J170" s="40"/>
      <c r="K170" s="40">
        <v>5</v>
      </c>
      <c r="L170" s="42">
        <v>0.4</v>
      </c>
      <c r="M170" s="42">
        <v>0.2</v>
      </c>
      <c r="N170" s="40">
        <v>23</v>
      </c>
      <c r="O170" s="40">
        <v>23</v>
      </c>
      <c r="P170" s="40"/>
      <c r="Q170" s="40">
        <v>5</v>
      </c>
    </row>
    <row r="171" spans="1:17" ht="57.6" customHeight="1">
      <c r="A171" s="40" t="s">
        <v>72</v>
      </c>
      <c r="B171" s="40"/>
      <c r="C171" s="40"/>
      <c r="D171" s="40"/>
      <c r="E171" s="40"/>
      <c r="F171" s="40"/>
      <c r="G171" s="40"/>
      <c r="H171" s="40"/>
      <c r="I171" s="40"/>
      <c r="J171" s="40"/>
      <c r="K171" s="40">
        <v>2</v>
      </c>
      <c r="L171" s="42">
        <v>1</v>
      </c>
      <c r="M171" s="42">
        <v>1</v>
      </c>
      <c r="N171" s="40">
        <v>11</v>
      </c>
      <c r="O171" s="40">
        <v>11</v>
      </c>
      <c r="P171" s="40"/>
      <c r="Q171" s="40">
        <v>2</v>
      </c>
    </row>
    <row r="172" spans="1:17" ht="86.45" customHeight="1">
      <c r="A172" s="43" t="s">
        <v>845</v>
      </c>
      <c r="B172" s="43">
        <v>728</v>
      </c>
      <c r="C172" s="44">
        <v>0.73199999999999998</v>
      </c>
      <c r="D172" s="44">
        <v>0.12</v>
      </c>
      <c r="E172" s="43">
        <v>385</v>
      </c>
      <c r="F172" s="44">
        <v>0.74299999999999999</v>
      </c>
      <c r="G172" s="44">
        <v>0.114</v>
      </c>
      <c r="H172" s="43">
        <v>385</v>
      </c>
      <c r="I172" s="44">
        <v>0.74299999999999999</v>
      </c>
      <c r="J172" s="44">
        <v>0.114</v>
      </c>
      <c r="K172" s="43">
        <v>11</v>
      </c>
      <c r="L172" s="43"/>
      <c r="M172" s="43"/>
      <c r="N172" s="40"/>
      <c r="O172" s="40"/>
      <c r="P172" s="40"/>
      <c r="Q172" s="43">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10</v>
      </c>
    </row>
    <row r="14" spans="1:1">
      <c r="A14" s="37"/>
    </row>
    <row r="15" spans="1:1">
      <c r="A15" s="38" t="s">
        <v>11</v>
      </c>
    </row>
    <row r="16" spans="1:1">
      <c r="A16" s="38" t="s">
        <v>12</v>
      </c>
    </row>
    <row r="17" spans="1:17">
      <c r="A17" s="38" t="s">
        <v>13</v>
      </c>
    </row>
    <row r="18" spans="1:17">
      <c r="A18" s="38" t="s">
        <v>14</v>
      </c>
    </row>
    <row r="19" spans="1:17">
      <c r="A19" s="38" t="s">
        <v>15</v>
      </c>
    </row>
    <row r="20" spans="1:17">
      <c r="A20" s="38" t="s">
        <v>16</v>
      </c>
    </row>
    <row r="22" spans="1:17">
      <c r="A22" t="s">
        <v>17</v>
      </c>
    </row>
    <row r="23" spans="1:17">
      <c r="A23" t="s">
        <v>18</v>
      </c>
    </row>
    <row r="24" spans="1:17">
      <c r="A24" s="107" t="s">
        <v>19</v>
      </c>
      <c r="B24" s="106"/>
      <c r="C24" s="106"/>
      <c r="D24" s="106"/>
      <c r="E24" s="106"/>
      <c r="F24" s="106"/>
      <c r="G24" s="106"/>
      <c r="H24" s="106"/>
      <c r="I24" s="106"/>
      <c r="J24" s="106"/>
      <c r="K24" s="106"/>
      <c r="L24" s="106"/>
      <c r="M24" s="106"/>
      <c r="N24" s="106"/>
      <c r="O24" s="106"/>
      <c r="P24" s="106"/>
      <c r="Q24" s="106"/>
    </row>
    <row r="25" spans="1:17">
      <c r="A25" s="106"/>
      <c r="B25" s="106"/>
      <c r="C25" s="106"/>
      <c r="D25" s="106"/>
      <c r="E25" s="106"/>
      <c r="F25" s="106"/>
      <c r="G25" s="106"/>
      <c r="H25" s="106"/>
      <c r="I25" s="106"/>
      <c r="J25" s="106"/>
      <c r="K25" s="106"/>
      <c r="L25" s="106"/>
      <c r="M25" s="106"/>
      <c r="N25" s="106"/>
      <c r="O25" s="106"/>
      <c r="P25" s="106"/>
      <c r="Q25" s="106"/>
    </row>
    <row r="26" spans="1:17" ht="14.45" customHeight="1">
      <c r="A26" s="108" t="s">
        <v>20</v>
      </c>
      <c r="B26" s="105" t="s">
        <v>21</v>
      </c>
      <c r="C26" s="106"/>
      <c r="D26" s="106"/>
      <c r="E26" s="105" t="s">
        <v>22</v>
      </c>
      <c r="F26" s="106"/>
      <c r="G26" s="106"/>
      <c r="H26" s="105" t="s">
        <v>23</v>
      </c>
      <c r="I26" s="106"/>
      <c r="J26" s="106"/>
      <c r="K26" s="105" t="s">
        <v>24</v>
      </c>
      <c r="L26" s="106"/>
      <c r="M26" s="106"/>
      <c r="N26" s="106"/>
      <c r="O26" s="106"/>
      <c r="P26" s="105" t="s">
        <v>25</v>
      </c>
      <c r="Q26" s="105" t="s">
        <v>26</v>
      </c>
    </row>
    <row r="27" spans="1:17">
      <c r="A27" s="106"/>
      <c r="B27" s="40" t="s">
        <v>27</v>
      </c>
      <c r="C27" s="40" t="s">
        <v>28</v>
      </c>
      <c r="D27" s="41">
        <v>46058</v>
      </c>
      <c r="E27" s="40" t="s">
        <v>27</v>
      </c>
      <c r="F27" s="40" t="s">
        <v>28</v>
      </c>
      <c r="G27" s="41">
        <v>46058</v>
      </c>
      <c r="H27" s="40" t="s">
        <v>27</v>
      </c>
      <c r="I27" s="40" t="s">
        <v>28</v>
      </c>
      <c r="J27" s="41">
        <v>46058</v>
      </c>
      <c r="K27" s="40" t="s">
        <v>27</v>
      </c>
      <c r="L27" s="40" t="s">
        <v>28</v>
      </c>
      <c r="M27" s="41">
        <v>46058</v>
      </c>
      <c r="N27" s="40" t="s">
        <v>29</v>
      </c>
      <c r="O27" s="40" t="s">
        <v>30</v>
      </c>
      <c r="P27" s="106"/>
      <c r="Q27" s="106"/>
    </row>
    <row r="28" spans="1:17" ht="115.15" customHeight="1">
      <c r="A28" s="40" t="s">
        <v>31</v>
      </c>
      <c r="B28" s="40"/>
      <c r="C28" s="40"/>
      <c r="D28" s="40"/>
      <c r="E28" s="40"/>
      <c r="F28" s="40"/>
      <c r="G28" s="40"/>
      <c r="H28" s="40"/>
      <c r="I28" s="40"/>
      <c r="J28" s="40"/>
      <c r="K28" s="40">
        <v>4</v>
      </c>
      <c r="L28" s="42">
        <v>0.75</v>
      </c>
      <c r="M28" s="42">
        <v>0.25</v>
      </c>
      <c r="N28" s="40">
        <v>27</v>
      </c>
      <c r="O28" s="40">
        <v>21</v>
      </c>
      <c r="P28" s="40"/>
      <c r="Q28" s="40">
        <v>4</v>
      </c>
    </row>
    <row r="29" spans="1:17" ht="144" customHeight="1">
      <c r="A29" s="40" t="s">
        <v>32</v>
      </c>
      <c r="B29" s="40"/>
      <c r="C29" s="40"/>
      <c r="D29" s="40"/>
      <c r="E29" s="40"/>
      <c r="F29" s="40"/>
      <c r="G29" s="40"/>
      <c r="H29" s="40"/>
      <c r="I29" s="40"/>
      <c r="J29" s="40"/>
      <c r="K29" s="40">
        <v>6</v>
      </c>
      <c r="L29" s="42">
        <v>0.5</v>
      </c>
      <c r="M29" s="42">
        <v>0.16700000000000001</v>
      </c>
      <c r="N29" s="40">
        <v>81</v>
      </c>
      <c r="O29" s="40">
        <v>78</v>
      </c>
      <c r="P29" s="40"/>
      <c r="Q29" s="40">
        <v>5</v>
      </c>
    </row>
    <row r="30" spans="1:17" ht="129.6" customHeight="1">
      <c r="A30" s="40" t="s">
        <v>33</v>
      </c>
      <c r="B30" s="40"/>
      <c r="C30" s="40"/>
      <c r="D30" s="40"/>
      <c r="E30" s="40"/>
      <c r="F30" s="40"/>
      <c r="G30" s="40"/>
      <c r="H30" s="40"/>
      <c r="I30" s="40"/>
      <c r="J30" s="40"/>
      <c r="K30" s="40">
        <v>2</v>
      </c>
      <c r="L30" s="42">
        <v>1</v>
      </c>
      <c r="M30" s="42">
        <v>0</v>
      </c>
      <c r="N30" s="40">
        <v>98</v>
      </c>
      <c r="O30" s="40">
        <v>98</v>
      </c>
      <c r="P30" s="40"/>
      <c r="Q30" s="40">
        <v>4</v>
      </c>
    </row>
    <row r="31" spans="1:17" ht="28.9" customHeight="1">
      <c r="A31" s="40" t="s">
        <v>34</v>
      </c>
      <c r="B31" s="40"/>
      <c r="C31" s="40"/>
      <c r="D31" s="40"/>
      <c r="E31" s="40"/>
      <c r="F31" s="40"/>
      <c r="G31" s="40"/>
      <c r="H31" s="40"/>
      <c r="I31" s="40"/>
      <c r="J31" s="40"/>
      <c r="K31" s="40">
        <v>12</v>
      </c>
      <c r="L31" s="42">
        <v>0.5</v>
      </c>
      <c r="M31" s="42">
        <v>0</v>
      </c>
      <c r="N31" s="40">
        <v>19</v>
      </c>
      <c r="O31" s="40">
        <v>21</v>
      </c>
      <c r="P31" s="40"/>
      <c r="Q31" s="40">
        <v>12</v>
      </c>
    </row>
    <row r="32" spans="1:17" ht="144" customHeight="1">
      <c r="A32" s="40" t="s">
        <v>35</v>
      </c>
      <c r="B32" s="40"/>
      <c r="C32" s="40"/>
      <c r="D32" s="40"/>
      <c r="E32" s="40"/>
      <c r="F32" s="40"/>
      <c r="G32" s="40"/>
      <c r="H32" s="40"/>
      <c r="I32" s="40"/>
      <c r="J32" s="40"/>
      <c r="K32" s="40">
        <v>3</v>
      </c>
      <c r="L32" s="42">
        <v>0.66700000000000004</v>
      </c>
      <c r="M32" s="42">
        <v>0.33300000000000002</v>
      </c>
      <c r="N32" s="40">
        <v>71</v>
      </c>
      <c r="O32" s="40">
        <v>64</v>
      </c>
      <c r="P32" s="40"/>
      <c r="Q32" s="40">
        <v>3</v>
      </c>
    </row>
    <row r="33" spans="1:17" ht="100.9" customHeight="1">
      <c r="A33" s="40" t="s">
        <v>36</v>
      </c>
      <c r="B33" s="40"/>
      <c r="C33" s="40"/>
      <c r="D33" s="40"/>
      <c r="E33" s="40"/>
      <c r="F33" s="40"/>
      <c r="G33" s="40"/>
      <c r="H33" s="40"/>
      <c r="I33" s="40"/>
      <c r="J33" s="40"/>
      <c r="K33" s="40">
        <v>1</v>
      </c>
      <c r="L33" s="42">
        <v>0</v>
      </c>
      <c r="M33" s="42">
        <v>0</v>
      </c>
      <c r="N33" s="40">
        <v>60</v>
      </c>
      <c r="O33" s="40">
        <v>60</v>
      </c>
      <c r="P33" s="40"/>
      <c r="Q33" s="40">
        <v>2</v>
      </c>
    </row>
    <row r="34" spans="1:17" ht="43.15" customHeight="1">
      <c r="A34" s="40" t="s">
        <v>37</v>
      </c>
      <c r="B34" s="40"/>
      <c r="C34" s="40"/>
      <c r="D34" s="40"/>
      <c r="E34" s="40"/>
      <c r="F34" s="40"/>
      <c r="G34" s="40"/>
      <c r="H34" s="40"/>
      <c r="I34" s="40"/>
      <c r="J34" s="40"/>
      <c r="K34" s="40">
        <v>8</v>
      </c>
      <c r="L34" s="42">
        <v>0.375</v>
      </c>
      <c r="M34" s="42">
        <v>0.25</v>
      </c>
      <c r="N34" s="40">
        <v>82</v>
      </c>
      <c r="O34" s="40">
        <v>73</v>
      </c>
      <c r="P34" s="40"/>
      <c r="Q34" s="40">
        <v>6</v>
      </c>
    </row>
    <row r="35" spans="1:17" ht="129.6" customHeight="1">
      <c r="A35" s="40" t="s">
        <v>38</v>
      </c>
      <c r="B35" s="40"/>
      <c r="C35" s="40"/>
      <c r="D35" s="40"/>
      <c r="E35" s="40"/>
      <c r="F35" s="40"/>
      <c r="G35" s="40"/>
      <c r="H35" s="40"/>
      <c r="I35" s="40"/>
      <c r="J35" s="40"/>
      <c r="K35" s="40">
        <v>3</v>
      </c>
      <c r="L35" s="42">
        <v>0.33300000000000002</v>
      </c>
      <c r="M35" s="42">
        <v>0</v>
      </c>
      <c r="N35" s="40">
        <v>65</v>
      </c>
      <c r="O35" s="40">
        <v>72</v>
      </c>
      <c r="P35" s="40"/>
      <c r="Q35" s="40">
        <v>3</v>
      </c>
    </row>
    <row r="36" spans="1:17" ht="28.9" customHeight="1">
      <c r="A36" s="40" t="s">
        <v>39</v>
      </c>
      <c r="B36" s="40"/>
      <c r="C36" s="40"/>
      <c r="D36" s="40"/>
      <c r="E36" s="40"/>
      <c r="F36" s="40"/>
      <c r="G36" s="40"/>
      <c r="H36" s="40"/>
      <c r="I36" s="40"/>
      <c r="J36" s="40"/>
      <c r="K36" s="40">
        <v>10</v>
      </c>
      <c r="L36" s="42">
        <v>0.7</v>
      </c>
      <c r="M36" s="42">
        <v>0.1</v>
      </c>
      <c r="N36" s="40">
        <v>80</v>
      </c>
      <c r="O36" s="40">
        <v>76</v>
      </c>
      <c r="P36" s="40"/>
      <c r="Q36" s="40">
        <v>7</v>
      </c>
    </row>
    <row r="37" spans="1:17" ht="43.15" customHeight="1">
      <c r="A37" s="40" t="s">
        <v>40</v>
      </c>
      <c r="B37" s="40"/>
      <c r="C37" s="40"/>
      <c r="D37" s="40"/>
      <c r="E37" s="40"/>
      <c r="F37" s="40"/>
      <c r="G37" s="40"/>
      <c r="H37" s="40"/>
      <c r="I37" s="40"/>
      <c r="J37" s="40"/>
      <c r="K37" s="40">
        <v>8</v>
      </c>
      <c r="L37" s="42">
        <v>0.375</v>
      </c>
      <c r="M37" s="42">
        <v>0.5</v>
      </c>
      <c r="N37" s="40">
        <v>41</v>
      </c>
      <c r="O37" s="40">
        <v>40</v>
      </c>
      <c r="P37" s="40"/>
      <c r="Q37" s="40">
        <v>8</v>
      </c>
    </row>
    <row r="38" spans="1:17" ht="100.9" customHeight="1">
      <c r="A38" s="40" t="s">
        <v>41</v>
      </c>
      <c r="B38" s="40"/>
      <c r="C38" s="40"/>
      <c r="D38" s="40"/>
      <c r="E38" s="40"/>
      <c r="F38" s="40"/>
      <c r="G38" s="40"/>
      <c r="H38" s="40"/>
      <c r="I38" s="40"/>
      <c r="J38" s="40"/>
      <c r="K38" s="40">
        <v>4</v>
      </c>
      <c r="L38" s="42">
        <v>0.75</v>
      </c>
      <c r="M38" s="42">
        <v>0.25</v>
      </c>
      <c r="N38" s="40">
        <v>50</v>
      </c>
      <c r="O38" s="40">
        <v>45</v>
      </c>
      <c r="P38" s="40"/>
      <c r="Q38" s="40">
        <v>4</v>
      </c>
    </row>
    <row r="39" spans="1:17" ht="72" customHeight="1">
      <c r="A39" s="40" t="s">
        <v>42</v>
      </c>
      <c r="B39" s="40"/>
      <c r="C39" s="40"/>
      <c r="D39" s="40"/>
      <c r="E39" s="40"/>
      <c r="F39" s="40"/>
      <c r="G39" s="40"/>
      <c r="H39" s="40"/>
      <c r="I39" s="40"/>
      <c r="J39" s="40"/>
      <c r="K39" s="40">
        <v>4</v>
      </c>
      <c r="L39" s="42">
        <v>0</v>
      </c>
      <c r="M39" s="42">
        <v>0.25</v>
      </c>
      <c r="N39" s="40">
        <v>98</v>
      </c>
      <c r="O39" s="40">
        <v>95</v>
      </c>
      <c r="P39" s="40"/>
      <c r="Q39" s="40">
        <v>8</v>
      </c>
    </row>
    <row r="40" spans="1:17" ht="72" customHeight="1">
      <c r="A40" s="40" t="s">
        <v>43</v>
      </c>
      <c r="B40" s="40"/>
      <c r="C40" s="40"/>
      <c r="D40" s="40"/>
      <c r="E40" s="40"/>
      <c r="F40" s="40"/>
      <c r="G40" s="40"/>
      <c r="H40" s="40"/>
      <c r="I40" s="40"/>
      <c r="J40" s="40"/>
      <c r="K40" s="40">
        <v>5</v>
      </c>
      <c r="L40" s="42">
        <v>1</v>
      </c>
      <c r="M40" s="42">
        <v>0.6</v>
      </c>
      <c r="N40" s="40">
        <v>70</v>
      </c>
      <c r="O40" s="40">
        <v>70</v>
      </c>
      <c r="P40" s="40"/>
      <c r="Q40" s="40">
        <v>5</v>
      </c>
    </row>
    <row r="41" spans="1:17" ht="115.15" customHeight="1">
      <c r="A41" s="40" t="s">
        <v>44</v>
      </c>
      <c r="B41" s="40"/>
      <c r="C41" s="40"/>
      <c r="D41" s="40"/>
      <c r="E41" s="40"/>
      <c r="F41" s="40"/>
      <c r="G41" s="40"/>
      <c r="H41" s="40"/>
      <c r="I41" s="40"/>
      <c r="J41" s="40"/>
      <c r="K41" s="40">
        <v>0</v>
      </c>
      <c r="L41" s="42">
        <v>0</v>
      </c>
      <c r="M41" s="42">
        <v>0</v>
      </c>
      <c r="N41" s="40">
        <v>0</v>
      </c>
      <c r="O41" s="40">
        <v>0</v>
      </c>
      <c r="P41" s="40"/>
      <c r="Q41" s="40">
        <v>1</v>
      </c>
    </row>
    <row r="42" spans="1:17" ht="28.9" customHeight="1">
      <c r="A42" s="43" t="s">
        <v>45</v>
      </c>
      <c r="B42" s="43">
        <v>136</v>
      </c>
      <c r="C42" s="44">
        <v>0.58799999999999997</v>
      </c>
      <c r="D42" s="44">
        <v>0.17599999999999999</v>
      </c>
      <c r="E42" s="43">
        <v>112</v>
      </c>
      <c r="F42" s="44">
        <v>0.57099999999999995</v>
      </c>
      <c r="G42" s="44">
        <v>0.214</v>
      </c>
      <c r="H42" s="43">
        <v>106</v>
      </c>
      <c r="I42" s="44">
        <v>0.56599999999999995</v>
      </c>
      <c r="J42" s="44">
        <v>0.217</v>
      </c>
      <c r="K42" s="43">
        <v>70</v>
      </c>
      <c r="L42" s="43"/>
      <c r="M42" s="43"/>
      <c r="N42" s="40"/>
      <c r="O42" s="40"/>
      <c r="P42" s="40"/>
      <c r="Q42" s="43">
        <v>72</v>
      </c>
    </row>
    <row r="43" spans="1:17">
      <c r="A43" s="107" t="s">
        <v>46</v>
      </c>
      <c r="B43" s="106"/>
      <c r="C43" s="106"/>
      <c r="D43" s="106"/>
      <c r="E43" s="106"/>
      <c r="F43" s="106"/>
      <c r="G43" s="106"/>
      <c r="H43" s="106"/>
      <c r="I43" s="106"/>
      <c r="J43" s="106"/>
      <c r="K43" s="106"/>
      <c r="L43" s="106"/>
      <c r="M43" s="106"/>
      <c r="N43" s="106"/>
      <c r="O43" s="106"/>
      <c r="P43" s="106"/>
      <c r="Q43" s="106"/>
    </row>
    <row r="44" spans="1:17">
      <c r="A44" s="106"/>
      <c r="B44" s="106"/>
      <c r="C44" s="106"/>
      <c r="D44" s="106"/>
      <c r="E44" s="106"/>
      <c r="F44" s="106"/>
      <c r="G44" s="106"/>
      <c r="H44" s="106"/>
      <c r="I44" s="106"/>
      <c r="J44" s="106"/>
      <c r="K44" s="106"/>
      <c r="L44" s="106"/>
      <c r="M44" s="106"/>
      <c r="N44" s="106"/>
      <c r="O44" s="106"/>
      <c r="P44" s="106"/>
      <c r="Q44" s="106"/>
    </row>
    <row r="45" spans="1:17" ht="14.45" customHeight="1">
      <c r="A45" s="108" t="s">
        <v>20</v>
      </c>
      <c r="B45" s="105" t="s">
        <v>21</v>
      </c>
      <c r="C45" s="106"/>
      <c r="D45" s="106"/>
      <c r="E45" s="105" t="s">
        <v>22</v>
      </c>
      <c r="F45" s="106"/>
      <c r="G45" s="106"/>
      <c r="H45" s="105" t="s">
        <v>23</v>
      </c>
      <c r="I45" s="106"/>
      <c r="J45" s="106"/>
      <c r="K45" s="105" t="s">
        <v>24</v>
      </c>
      <c r="L45" s="106"/>
      <c r="M45" s="106"/>
      <c r="N45" s="106"/>
      <c r="O45" s="106"/>
      <c r="P45" s="105" t="s">
        <v>25</v>
      </c>
      <c r="Q45" s="105" t="s">
        <v>26</v>
      </c>
    </row>
    <row r="46" spans="1:17">
      <c r="A46" s="106"/>
      <c r="B46" s="40" t="s">
        <v>27</v>
      </c>
      <c r="C46" s="40" t="s">
        <v>28</v>
      </c>
      <c r="D46" s="41">
        <v>46058</v>
      </c>
      <c r="E46" s="40" t="s">
        <v>27</v>
      </c>
      <c r="F46" s="40" t="s">
        <v>28</v>
      </c>
      <c r="G46" s="41">
        <v>46058</v>
      </c>
      <c r="H46" s="40" t="s">
        <v>27</v>
      </c>
      <c r="I46" s="40" t="s">
        <v>28</v>
      </c>
      <c r="J46" s="41">
        <v>46058</v>
      </c>
      <c r="K46" s="40" t="s">
        <v>27</v>
      </c>
      <c r="L46" s="40" t="s">
        <v>28</v>
      </c>
      <c r="M46" s="41">
        <v>46058</v>
      </c>
      <c r="N46" s="40" t="s">
        <v>29</v>
      </c>
      <c r="O46" s="40" t="s">
        <v>30</v>
      </c>
      <c r="P46" s="106"/>
      <c r="Q46" s="106"/>
    </row>
    <row r="47" spans="1:17" ht="28.9" customHeight="1">
      <c r="A47" s="40" t="s">
        <v>46</v>
      </c>
      <c r="B47" s="40">
        <v>32</v>
      </c>
      <c r="C47" s="42">
        <v>0.438</v>
      </c>
      <c r="D47" s="42">
        <v>0.125</v>
      </c>
      <c r="E47" s="40">
        <v>28</v>
      </c>
      <c r="F47" s="42">
        <v>0.42899999999999999</v>
      </c>
      <c r="G47" s="42">
        <v>0.14299999999999999</v>
      </c>
      <c r="H47" s="40">
        <v>3</v>
      </c>
      <c r="I47" s="42">
        <v>0.33300000000000002</v>
      </c>
      <c r="J47" s="42">
        <v>0</v>
      </c>
      <c r="K47" s="40">
        <v>1</v>
      </c>
      <c r="L47" s="42">
        <v>0</v>
      </c>
      <c r="M47" s="42">
        <v>0</v>
      </c>
      <c r="N47" s="40">
        <v>3</v>
      </c>
      <c r="O47" s="40">
        <v>3</v>
      </c>
      <c r="P47" s="40"/>
      <c r="Q47" s="40">
        <v>2</v>
      </c>
    </row>
    <row r="48" spans="1:17">
      <c r="A48" s="107" t="s">
        <v>47</v>
      </c>
      <c r="B48" s="106"/>
      <c r="C48" s="106"/>
      <c r="D48" s="106"/>
      <c r="E48" s="106"/>
      <c r="F48" s="106"/>
      <c r="G48" s="106"/>
      <c r="H48" s="106"/>
      <c r="I48" s="106"/>
      <c r="J48" s="106"/>
      <c r="K48" s="106"/>
      <c r="L48" s="106"/>
      <c r="M48" s="106"/>
      <c r="N48" s="106"/>
      <c r="O48" s="106"/>
      <c r="P48" s="106"/>
      <c r="Q48" s="106"/>
    </row>
    <row r="49" spans="1:17">
      <c r="A49" s="106"/>
      <c r="B49" s="106"/>
      <c r="C49" s="106"/>
      <c r="D49" s="106"/>
      <c r="E49" s="106"/>
      <c r="F49" s="106"/>
      <c r="G49" s="106"/>
      <c r="H49" s="106"/>
      <c r="I49" s="106"/>
      <c r="J49" s="106"/>
      <c r="K49" s="106"/>
      <c r="L49" s="106"/>
      <c r="M49" s="106"/>
      <c r="N49" s="106"/>
      <c r="O49" s="106"/>
      <c r="P49" s="106"/>
      <c r="Q49" s="106"/>
    </row>
    <row r="50" spans="1:17" ht="14.45" customHeight="1">
      <c r="A50" s="108" t="s">
        <v>20</v>
      </c>
      <c r="B50" s="105" t="s">
        <v>21</v>
      </c>
      <c r="C50" s="106"/>
      <c r="D50" s="106"/>
      <c r="E50" s="105" t="s">
        <v>22</v>
      </c>
      <c r="F50" s="106"/>
      <c r="G50" s="106"/>
      <c r="H50" s="105" t="s">
        <v>23</v>
      </c>
      <c r="I50" s="106"/>
      <c r="J50" s="106"/>
      <c r="K50" s="105" t="s">
        <v>24</v>
      </c>
      <c r="L50" s="106"/>
      <c r="M50" s="106"/>
      <c r="N50" s="106"/>
      <c r="O50" s="106"/>
      <c r="P50" s="105" t="s">
        <v>25</v>
      </c>
      <c r="Q50" s="105" t="s">
        <v>26</v>
      </c>
    </row>
    <row r="51" spans="1:17">
      <c r="A51" s="106"/>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6"/>
      <c r="Q51" s="106"/>
    </row>
    <row r="52" spans="1:17" ht="57.6" customHeight="1">
      <c r="A52" s="40" t="s">
        <v>48</v>
      </c>
      <c r="B52" s="40"/>
      <c r="C52" s="40"/>
      <c r="D52" s="40"/>
      <c r="E52" s="40"/>
      <c r="F52" s="40"/>
      <c r="G52" s="40"/>
      <c r="H52" s="40"/>
      <c r="I52" s="40"/>
      <c r="J52" s="40"/>
      <c r="K52" s="40">
        <v>2</v>
      </c>
      <c r="L52" s="42">
        <v>1</v>
      </c>
      <c r="M52" s="42">
        <v>0</v>
      </c>
      <c r="N52" s="40">
        <v>10</v>
      </c>
      <c r="O52" s="40">
        <v>10</v>
      </c>
      <c r="P52" s="40"/>
      <c r="Q52" s="40">
        <v>2</v>
      </c>
    </row>
    <row r="53" spans="1:17" ht="57.6" customHeight="1">
      <c r="A53" s="40" t="s">
        <v>49</v>
      </c>
      <c r="B53" s="40"/>
      <c r="C53" s="40"/>
      <c r="D53" s="40"/>
      <c r="E53" s="40"/>
      <c r="F53" s="40"/>
      <c r="G53" s="40"/>
      <c r="H53" s="40"/>
      <c r="I53" s="40"/>
      <c r="J53" s="40"/>
      <c r="K53" s="40">
        <v>3</v>
      </c>
      <c r="L53" s="42">
        <v>1</v>
      </c>
      <c r="M53" s="42">
        <v>0.33300000000000002</v>
      </c>
      <c r="N53" s="40">
        <v>3</v>
      </c>
      <c r="O53" s="40">
        <v>4</v>
      </c>
      <c r="P53" s="40"/>
      <c r="Q53" s="40">
        <v>3</v>
      </c>
    </row>
    <row r="54" spans="1:17" ht="72" customHeight="1">
      <c r="A54" s="40" t="s">
        <v>50</v>
      </c>
      <c r="B54" s="40"/>
      <c r="C54" s="40"/>
      <c r="D54" s="40"/>
      <c r="E54" s="40"/>
      <c r="F54" s="40"/>
      <c r="G54" s="40"/>
      <c r="H54" s="40"/>
      <c r="I54" s="40"/>
      <c r="J54" s="40"/>
      <c r="K54" s="40">
        <v>2</v>
      </c>
      <c r="L54" s="42">
        <v>0</v>
      </c>
      <c r="M54" s="42">
        <v>0</v>
      </c>
      <c r="N54" s="40">
        <v>9</v>
      </c>
      <c r="O54" s="40">
        <v>9</v>
      </c>
      <c r="P54" s="40"/>
      <c r="Q54" s="40">
        <v>2</v>
      </c>
    </row>
    <row r="55" spans="1:17" ht="43.15" customHeight="1">
      <c r="A55" s="40" t="s">
        <v>51</v>
      </c>
      <c r="B55" s="40"/>
      <c r="C55" s="40"/>
      <c r="D55" s="40"/>
      <c r="E55" s="40"/>
      <c r="F55" s="40"/>
      <c r="G55" s="40"/>
      <c r="H55" s="40"/>
      <c r="I55" s="40"/>
      <c r="J55" s="40"/>
      <c r="K55" s="40">
        <v>2</v>
      </c>
      <c r="L55" s="42">
        <v>1</v>
      </c>
      <c r="M55" s="42">
        <v>0.5</v>
      </c>
      <c r="N55" s="40">
        <v>8</v>
      </c>
      <c r="O55" s="40">
        <v>8</v>
      </c>
      <c r="P55" s="40"/>
      <c r="Q55" s="40">
        <v>2</v>
      </c>
    </row>
    <row r="56" spans="1:17" ht="28.9" customHeight="1">
      <c r="A56" s="43" t="s">
        <v>52</v>
      </c>
      <c r="B56" s="43">
        <v>52</v>
      </c>
      <c r="C56" s="44">
        <v>0.76900000000000002</v>
      </c>
      <c r="D56" s="44">
        <v>0.25</v>
      </c>
      <c r="E56" s="43">
        <v>30</v>
      </c>
      <c r="F56" s="44">
        <v>0.76700000000000002</v>
      </c>
      <c r="G56" s="44">
        <v>0.4</v>
      </c>
      <c r="H56" s="43">
        <v>19</v>
      </c>
      <c r="I56" s="44">
        <v>0.73699999999999999</v>
      </c>
      <c r="J56" s="44">
        <v>0.316</v>
      </c>
      <c r="K56" s="43">
        <v>9</v>
      </c>
      <c r="L56" s="43"/>
      <c r="M56" s="43"/>
      <c r="N56" s="40"/>
      <c r="O56" s="40"/>
      <c r="P56" s="40"/>
      <c r="Q56" s="43">
        <v>9</v>
      </c>
    </row>
    <row r="57" spans="1:17">
      <c r="A57" s="107" t="s">
        <v>53</v>
      </c>
      <c r="B57" s="106"/>
      <c r="C57" s="106"/>
      <c r="D57" s="106"/>
      <c r="E57" s="106"/>
      <c r="F57" s="106"/>
      <c r="G57" s="106"/>
      <c r="H57" s="106"/>
      <c r="I57" s="106"/>
      <c r="J57" s="106"/>
      <c r="K57" s="106"/>
      <c r="L57" s="106"/>
      <c r="M57" s="106"/>
      <c r="N57" s="106"/>
      <c r="O57" s="106"/>
      <c r="P57" s="106"/>
      <c r="Q57" s="106"/>
    </row>
    <row r="58" spans="1:17">
      <c r="A58" s="106"/>
      <c r="B58" s="106"/>
      <c r="C58" s="106"/>
      <c r="D58" s="106"/>
      <c r="E58" s="106"/>
      <c r="F58" s="106"/>
      <c r="G58" s="106"/>
      <c r="H58" s="106"/>
      <c r="I58" s="106"/>
      <c r="J58" s="106"/>
      <c r="K58" s="106"/>
      <c r="L58" s="106"/>
      <c r="M58" s="106"/>
      <c r="N58" s="106"/>
      <c r="O58" s="106"/>
      <c r="P58" s="106"/>
      <c r="Q58" s="106"/>
    </row>
    <row r="59" spans="1:17" ht="14.45" customHeight="1">
      <c r="A59" s="108" t="s">
        <v>20</v>
      </c>
      <c r="B59" s="105" t="s">
        <v>21</v>
      </c>
      <c r="C59" s="106"/>
      <c r="D59" s="106"/>
      <c r="E59" s="105" t="s">
        <v>22</v>
      </c>
      <c r="F59" s="106"/>
      <c r="G59" s="106"/>
      <c r="H59" s="105" t="s">
        <v>23</v>
      </c>
      <c r="I59" s="106"/>
      <c r="J59" s="106"/>
      <c r="K59" s="105" t="s">
        <v>24</v>
      </c>
      <c r="L59" s="106"/>
      <c r="M59" s="106"/>
      <c r="N59" s="106"/>
      <c r="O59" s="106"/>
      <c r="P59" s="105" t="s">
        <v>25</v>
      </c>
      <c r="Q59" s="105" t="s">
        <v>26</v>
      </c>
    </row>
    <row r="60" spans="1:17">
      <c r="A60" s="106"/>
      <c r="B60" s="40" t="s">
        <v>27</v>
      </c>
      <c r="C60" s="40" t="s">
        <v>28</v>
      </c>
      <c r="D60" s="41">
        <v>46058</v>
      </c>
      <c r="E60" s="40" t="s">
        <v>27</v>
      </c>
      <c r="F60" s="40" t="s">
        <v>28</v>
      </c>
      <c r="G60" s="41">
        <v>46058</v>
      </c>
      <c r="H60" s="40" t="s">
        <v>27</v>
      </c>
      <c r="I60" s="40" t="s">
        <v>28</v>
      </c>
      <c r="J60" s="41">
        <v>46058</v>
      </c>
      <c r="K60" s="40" t="s">
        <v>27</v>
      </c>
      <c r="L60" s="40" t="s">
        <v>28</v>
      </c>
      <c r="M60" s="41">
        <v>46058</v>
      </c>
      <c r="N60" s="40" t="s">
        <v>29</v>
      </c>
      <c r="O60" s="40" t="s">
        <v>30</v>
      </c>
      <c r="P60" s="106"/>
      <c r="Q60" s="106"/>
    </row>
    <row r="61" spans="1:17" ht="57.6" customHeight="1">
      <c r="A61" s="40" t="s">
        <v>54</v>
      </c>
      <c r="B61" s="40"/>
      <c r="C61" s="40"/>
      <c r="D61" s="40"/>
      <c r="E61" s="40"/>
      <c r="F61" s="40"/>
      <c r="G61" s="40"/>
      <c r="H61" s="40"/>
      <c r="I61" s="40"/>
      <c r="J61" s="40"/>
      <c r="K61" s="40">
        <v>2</v>
      </c>
      <c r="L61" s="42">
        <v>0.5</v>
      </c>
      <c r="M61" s="42">
        <v>0.5</v>
      </c>
      <c r="N61" s="40">
        <v>27</v>
      </c>
      <c r="O61" s="40">
        <v>27</v>
      </c>
      <c r="P61" s="40"/>
      <c r="Q61" s="40">
        <v>1</v>
      </c>
    </row>
    <row r="62" spans="1:17" ht="72" customHeight="1">
      <c r="A62" s="40" t="s">
        <v>55</v>
      </c>
      <c r="B62" s="40"/>
      <c r="C62" s="40"/>
      <c r="D62" s="40"/>
      <c r="E62" s="40"/>
      <c r="F62" s="40"/>
      <c r="G62" s="40"/>
      <c r="H62" s="40"/>
      <c r="I62" s="40"/>
      <c r="J62" s="40"/>
      <c r="K62" s="40">
        <v>1</v>
      </c>
      <c r="L62" s="42">
        <v>0</v>
      </c>
      <c r="M62" s="42">
        <v>0</v>
      </c>
      <c r="N62" s="40">
        <v>64</v>
      </c>
      <c r="O62" s="40">
        <v>64</v>
      </c>
      <c r="P62" s="40"/>
      <c r="Q62" s="40">
        <v>1</v>
      </c>
    </row>
    <row r="63" spans="1:17" ht="28.9" customHeight="1">
      <c r="A63" s="40" t="s">
        <v>56</v>
      </c>
      <c r="B63" s="40"/>
      <c r="C63" s="40"/>
      <c r="D63" s="40"/>
      <c r="E63" s="40"/>
      <c r="F63" s="40"/>
      <c r="G63" s="40"/>
      <c r="H63" s="40"/>
      <c r="I63" s="40"/>
      <c r="J63" s="40"/>
      <c r="K63" s="40">
        <v>1</v>
      </c>
      <c r="L63" s="42">
        <v>0</v>
      </c>
      <c r="M63" s="42">
        <v>0</v>
      </c>
      <c r="N63" s="40">
        <v>1</v>
      </c>
      <c r="O63" s="40">
        <v>1</v>
      </c>
      <c r="P63" s="40"/>
      <c r="Q63" s="40">
        <v>1</v>
      </c>
    </row>
    <row r="64" spans="1:17" ht="115.15" customHeight="1">
      <c r="A64" s="40" t="s">
        <v>57</v>
      </c>
      <c r="B64" s="40"/>
      <c r="C64" s="40"/>
      <c r="D64" s="40"/>
      <c r="E64" s="40"/>
      <c r="F64" s="40"/>
      <c r="G64" s="40"/>
      <c r="H64" s="40"/>
      <c r="I64" s="40"/>
      <c r="J64" s="40"/>
      <c r="K64" s="40">
        <v>1</v>
      </c>
      <c r="L64" s="42">
        <v>1</v>
      </c>
      <c r="M64" s="42">
        <v>0</v>
      </c>
      <c r="N64" s="40">
        <v>30</v>
      </c>
      <c r="O64" s="40">
        <v>30</v>
      </c>
      <c r="P64" s="40"/>
      <c r="Q64" s="40">
        <v>1</v>
      </c>
    </row>
    <row r="65" spans="1:17" ht="43.15" customHeight="1">
      <c r="A65" s="40" t="s">
        <v>58</v>
      </c>
      <c r="B65" s="40"/>
      <c r="C65" s="40"/>
      <c r="D65" s="40"/>
      <c r="E65" s="40"/>
      <c r="F65" s="40"/>
      <c r="G65" s="40"/>
      <c r="H65" s="40"/>
      <c r="I65" s="40"/>
      <c r="J65" s="40"/>
      <c r="K65" s="40">
        <v>0</v>
      </c>
      <c r="L65" s="42">
        <v>0</v>
      </c>
      <c r="M65" s="42">
        <v>0</v>
      </c>
      <c r="N65" s="40">
        <v>0</v>
      </c>
      <c r="O65" s="40">
        <v>0</v>
      </c>
      <c r="P65" s="40"/>
      <c r="Q65" s="40">
        <v>1</v>
      </c>
    </row>
    <row r="66" spans="1:17" ht="57.6" customHeight="1">
      <c r="A66" s="40" t="s">
        <v>59</v>
      </c>
      <c r="B66" s="40"/>
      <c r="C66" s="40"/>
      <c r="D66" s="40"/>
      <c r="E66" s="40"/>
      <c r="F66" s="40"/>
      <c r="G66" s="40"/>
      <c r="H66" s="40"/>
      <c r="I66" s="40"/>
      <c r="J66" s="40"/>
      <c r="K66" s="40">
        <v>1</v>
      </c>
      <c r="L66" s="42">
        <v>0</v>
      </c>
      <c r="M66" s="42">
        <v>0</v>
      </c>
      <c r="N66" s="40">
        <v>55</v>
      </c>
      <c r="O66" s="40">
        <v>55</v>
      </c>
      <c r="P66" s="40"/>
      <c r="Q66" s="40">
        <v>1</v>
      </c>
    </row>
    <row r="67" spans="1:17" ht="72" customHeight="1">
      <c r="A67" s="40" t="s">
        <v>60</v>
      </c>
      <c r="B67" s="40"/>
      <c r="C67" s="40"/>
      <c r="D67" s="40"/>
      <c r="E67" s="40"/>
      <c r="F67" s="40"/>
      <c r="G67" s="40"/>
      <c r="H67" s="40"/>
      <c r="I67" s="40"/>
      <c r="J67" s="40"/>
      <c r="K67" s="40">
        <v>1</v>
      </c>
      <c r="L67" s="42">
        <v>0</v>
      </c>
      <c r="M67" s="42">
        <v>1</v>
      </c>
      <c r="N67" s="40">
        <v>52</v>
      </c>
      <c r="O67" s="40">
        <v>52</v>
      </c>
      <c r="P67" s="40"/>
      <c r="Q67" s="40">
        <v>1</v>
      </c>
    </row>
    <row r="68" spans="1:17" ht="57.6" customHeight="1">
      <c r="A68" s="40" t="s">
        <v>61</v>
      </c>
      <c r="B68" s="40"/>
      <c r="C68" s="40"/>
      <c r="D68" s="40"/>
      <c r="E68" s="40"/>
      <c r="F68" s="40"/>
      <c r="G68" s="40"/>
      <c r="H68" s="40"/>
      <c r="I68" s="40"/>
      <c r="J68" s="40"/>
      <c r="K68" s="40">
        <v>1</v>
      </c>
      <c r="L68" s="42">
        <v>1</v>
      </c>
      <c r="M68" s="42">
        <v>0</v>
      </c>
      <c r="N68" s="40">
        <v>48</v>
      </c>
      <c r="O68" s="40">
        <v>48</v>
      </c>
      <c r="P68" s="40"/>
      <c r="Q68" s="40">
        <v>1</v>
      </c>
    </row>
    <row r="69" spans="1:17" ht="57.6" customHeight="1">
      <c r="A69" s="40" t="s">
        <v>62</v>
      </c>
      <c r="B69" s="40"/>
      <c r="C69" s="40"/>
      <c r="D69" s="40"/>
      <c r="E69" s="40"/>
      <c r="F69" s="40"/>
      <c r="G69" s="40"/>
      <c r="H69" s="40"/>
      <c r="I69" s="40"/>
      <c r="J69" s="40"/>
      <c r="K69" s="40">
        <v>1</v>
      </c>
      <c r="L69" s="42">
        <v>0</v>
      </c>
      <c r="M69" s="42">
        <v>0</v>
      </c>
      <c r="N69" s="40">
        <v>62</v>
      </c>
      <c r="O69" s="40">
        <v>62</v>
      </c>
      <c r="P69" s="40"/>
      <c r="Q69" s="40">
        <v>1</v>
      </c>
    </row>
    <row r="70" spans="1:17" ht="86.45" customHeight="1">
      <c r="A70" s="40" t="s">
        <v>63</v>
      </c>
      <c r="B70" s="40"/>
      <c r="C70" s="40"/>
      <c r="D70" s="40"/>
      <c r="E70" s="40"/>
      <c r="F70" s="40"/>
      <c r="G70" s="40"/>
      <c r="H70" s="40"/>
      <c r="I70" s="40"/>
      <c r="J70" s="40"/>
      <c r="K70" s="40">
        <v>1</v>
      </c>
      <c r="L70" s="42">
        <v>1</v>
      </c>
      <c r="M70" s="42">
        <v>0</v>
      </c>
      <c r="N70" s="40">
        <v>56</v>
      </c>
      <c r="O70" s="40">
        <v>56</v>
      </c>
      <c r="P70" s="40"/>
      <c r="Q70" s="40">
        <v>1</v>
      </c>
    </row>
    <row r="71" spans="1:17" ht="57.6" customHeight="1">
      <c r="A71" s="40" t="s">
        <v>64</v>
      </c>
      <c r="B71" s="40"/>
      <c r="C71" s="40"/>
      <c r="D71" s="40"/>
      <c r="E71" s="40"/>
      <c r="F71" s="40"/>
      <c r="G71" s="40"/>
      <c r="H71" s="40"/>
      <c r="I71" s="40"/>
      <c r="J71" s="40"/>
      <c r="K71" s="40">
        <v>1</v>
      </c>
      <c r="L71" s="42">
        <v>1</v>
      </c>
      <c r="M71" s="42">
        <v>1</v>
      </c>
      <c r="N71" s="40">
        <v>49</v>
      </c>
      <c r="O71" s="40">
        <v>49</v>
      </c>
      <c r="P71" s="40"/>
      <c r="Q71" s="40">
        <v>1</v>
      </c>
    </row>
    <row r="72" spans="1:17" ht="72" customHeight="1">
      <c r="A72" s="40" t="s">
        <v>65</v>
      </c>
      <c r="B72" s="40"/>
      <c r="C72" s="40"/>
      <c r="D72" s="40"/>
      <c r="E72" s="40"/>
      <c r="F72" s="40"/>
      <c r="G72" s="40"/>
      <c r="H72" s="40"/>
      <c r="I72" s="40"/>
      <c r="J72" s="40"/>
      <c r="K72" s="40">
        <v>1</v>
      </c>
      <c r="L72" s="42">
        <v>1</v>
      </c>
      <c r="M72" s="42">
        <v>1</v>
      </c>
      <c r="N72" s="40">
        <v>72</v>
      </c>
      <c r="O72" s="40">
        <v>72</v>
      </c>
      <c r="P72" s="40"/>
      <c r="Q72" s="40">
        <v>1</v>
      </c>
    </row>
    <row r="73" spans="1:17" ht="57.6" customHeight="1">
      <c r="A73" s="40" t="s">
        <v>66</v>
      </c>
      <c r="B73" s="40"/>
      <c r="C73" s="40"/>
      <c r="D73" s="40"/>
      <c r="E73" s="40"/>
      <c r="F73" s="40"/>
      <c r="G73" s="40"/>
      <c r="H73" s="40"/>
      <c r="I73" s="40"/>
      <c r="J73" s="40"/>
      <c r="K73" s="40">
        <v>1</v>
      </c>
      <c r="L73" s="42">
        <v>1</v>
      </c>
      <c r="M73" s="42">
        <v>1</v>
      </c>
      <c r="N73" s="40">
        <v>26</v>
      </c>
      <c r="O73" s="40">
        <v>26</v>
      </c>
      <c r="P73" s="40"/>
      <c r="Q73" s="40">
        <v>1</v>
      </c>
    </row>
    <row r="74" spans="1:17" ht="43.15" customHeight="1">
      <c r="A74" s="43" t="s">
        <v>53</v>
      </c>
      <c r="B74" s="43">
        <v>110</v>
      </c>
      <c r="C74" s="44">
        <v>0.56399999999999995</v>
      </c>
      <c r="D74" s="44">
        <v>0.16400000000000001</v>
      </c>
      <c r="E74" s="43">
        <v>86</v>
      </c>
      <c r="F74" s="44">
        <v>0.56999999999999995</v>
      </c>
      <c r="G74" s="44">
        <v>0.20899999999999999</v>
      </c>
      <c r="H74" s="43">
        <v>80</v>
      </c>
      <c r="I74" s="44">
        <v>0.58799999999999997</v>
      </c>
      <c r="J74" s="44">
        <v>0.21299999999999999</v>
      </c>
      <c r="K74" s="43">
        <v>13</v>
      </c>
      <c r="L74" s="43"/>
      <c r="M74" s="43"/>
      <c r="N74" s="40"/>
      <c r="O74" s="40"/>
      <c r="P74" s="40"/>
      <c r="Q74" s="43">
        <v>13</v>
      </c>
    </row>
    <row r="75" spans="1:17">
      <c r="A75" s="107" t="s">
        <v>67</v>
      </c>
      <c r="B75" s="106"/>
      <c r="C75" s="106"/>
      <c r="D75" s="106"/>
      <c r="E75" s="106"/>
      <c r="F75" s="106"/>
      <c r="G75" s="106"/>
      <c r="H75" s="106"/>
      <c r="I75" s="106"/>
      <c r="J75" s="106"/>
      <c r="K75" s="106"/>
      <c r="L75" s="106"/>
      <c r="M75" s="106"/>
      <c r="N75" s="106"/>
      <c r="O75" s="106"/>
      <c r="P75" s="106"/>
      <c r="Q75" s="106"/>
    </row>
    <row r="76" spans="1:17">
      <c r="A76" s="106"/>
      <c r="B76" s="106"/>
      <c r="C76" s="106"/>
      <c r="D76" s="106"/>
      <c r="E76" s="106"/>
      <c r="F76" s="106"/>
      <c r="G76" s="106"/>
      <c r="H76" s="106"/>
      <c r="I76" s="106"/>
      <c r="J76" s="106"/>
      <c r="K76" s="106"/>
      <c r="L76" s="106"/>
      <c r="M76" s="106"/>
      <c r="N76" s="106"/>
      <c r="O76" s="106"/>
      <c r="P76" s="106"/>
      <c r="Q76" s="106"/>
    </row>
    <row r="77" spans="1:17" ht="14.45" customHeight="1">
      <c r="A77" s="108" t="s">
        <v>20</v>
      </c>
      <c r="B77" s="105" t="s">
        <v>21</v>
      </c>
      <c r="C77" s="106"/>
      <c r="D77" s="106"/>
      <c r="E77" s="105" t="s">
        <v>22</v>
      </c>
      <c r="F77" s="106"/>
      <c r="G77" s="106"/>
      <c r="H77" s="105" t="s">
        <v>23</v>
      </c>
      <c r="I77" s="106"/>
      <c r="J77" s="106"/>
      <c r="K77" s="105" t="s">
        <v>24</v>
      </c>
      <c r="L77" s="106"/>
      <c r="M77" s="106"/>
      <c r="N77" s="106"/>
      <c r="O77" s="106"/>
      <c r="P77" s="105" t="s">
        <v>25</v>
      </c>
      <c r="Q77" s="105" t="s">
        <v>26</v>
      </c>
    </row>
    <row r="78" spans="1:17">
      <c r="A78" s="106"/>
      <c r="B78" s="40" t="s">
        <v>27</v>
      </c>
      <c r="C78" s="40" t="s">
        <v>28</v>
      </c>
      <c r="D78" s="41">
        <v>46058</v>
      </c>
      <c r="E78" s="40" t="s">
        <v>27</v>
      </c>
      <c r="F78" s="40" t="s">
        <v>28</v>
      </c>
      <c r="G78" s="41">
        <v>46058</v>
      </c>
      <c r="H78" s="40" t="s">
        <v>27</v>
      </c>
      <c r="I78" s="40" t="s">
        <v>28</v>
      </c>
      <c r="J78" s="41">
        <v>46058</v>
      </c>
      <c r="K78" s="40" t="s">
        <v>27</v>
      </c>
      <c r="L78" s="40" t="s">
        <v>28</v>
      </c>
      <c r="M78" s="41">
        <v>46058</v>
      </c>
      <c r="N78" s="40" t="s">
        <v>29</v>
      </c>
      <c r="O78" s="40" t="s">
        <v>30</v>
      </c>
      <c r="P78" s="106"/>
      <c r="Q78" s="106"/>
    </row>
    <row r="79" spans="1:17" ht="28.9" customHeight="1">
      <c r="A79" s="40" t="s">
        <v>68</v>
      </c>
      <c r="B79" s="40">
        <v>31</v>
      </c>
      <c r="C79" s="42">
        <v>0.48399999999999999</v>
      </c>
      <c r="D79" s="42">
        <v>0</v>
      </c>
      <c r="E79" s="40">
        <v>8</v>
      </c>
      <c r="F79" s="42">
        <v>0.625</v>
      </c>
      <c r="G79" s="42">
        <v>0</v>
      </c>
      <c r="H79" s="40">
        <v>2</v>
      </c>
      <c r="I79" s="42">
        <v>0.5</v>
      </c>
      <c r="J79" s="42">
        <v>0</v>
      </c>
      <c r="K79" s="40">
        <v>2</v>
      </c>
      <c r="L79" s="42">
        <v>0.5</v>
      </c>
      <c r="M79" s="42">
        <v>0</v>
      </c>
      <c r="N79" s="40">
        <v>2</v>
      </c>
      <c r="O79" s="40">
        <v>2</v>
      </c>
      <c r="P79" s="40"/>
      <c r="Q79" s="40">
        <v>2</v>
      </c>
    </row>
    <row r="80" spans="1:17">
      <c r="A80" s="107" t="s">
        <v>69</v>
      </c>
      <c r="B80" s="106"/>
      <c r="C80" s="106"/>
      <c r="D80" s="106"/>
      <c r="E80" s="106"/>
      <c r="F80" s="106"/>
      <c r="G80" s="106"/>
      <c r="H80" s="106"/>
      <c r="I80" s="106"/>
      <c r="J80" s="106"/>
      <c r="K80" s="106"/>
      <c r="L80" s="106"/>
      <c r="M80" s="106"/>
      <c r="N80" s="106"/>
      <c r="O80" s="106"/>
      <c r="P80" s="106"/>
      <c r="Q80" s="106"/>
    </row>
    <row r="81" spans="1:17">
      <c r="A81" s="106"/>
      <c r="B81" s="106"/>
      <c r="C81" s="106"/>
      <c r="D81" s="106"/>
      <c r="E81" s="106"/>
      <c r="F81" s="106"/>
      <c r="G81" s="106"/>
      <c r="H81" s="106"/>
      <c r="I81" s="106"/>
      <c r="J81" s="106"/>
      <c r="K81" s="106"/>
      <c r="L81" s="106"/>
      <c r="M81" s="106"/>
      <c r="N81" s="106"/>
      <c r="O81" s="106"/>
      <c r="P81" s="106"/>
      <c r="Q81" s="106"/>
    </row>
    <row r="82" spans="1:17" ht="14.45" customHeight="1">
      <c r="A82" s="108" t="s">
        <v>20</v>
      </c>
      <c r="B82" s="105" t="s">
        <v>21</v>
      </c>
      <c r="C82" s="106"/>
      <c r="D82" s="106"/>
      <c r="E82" s="105" t="s">
        <v>22</v>
      </c>
      <c r="F82" s="106"/>
      <c r="G82" s="106"/>
      <c r="H82" s="105" t="s">
        <v>23</v>
      </c>
      <c r="I82" s="106"/>
      <c r="J82" s="106"/>
      <c r="K82" s="105" t="s">
        <v>24</v>
      </c>
      <c r="L82" s="106"/>
      <c r="M82" s="106"/>
      <c r="N82" s="106"/>
      <c r="O82" s="106"/>
      <c r="P82" s="105" t="s">
        <v>25</v>
      </c>
      <c r="Q82" s="105" t="s">
        <v>26</v>
      </c>
    </row>
    <row r="83" spans="1:17">
      <c r="A83" s="106"/>
      <c r="B83" s="40" t="s">
        <v>27</v>
      </c>
      <c r="C83" s="40" t="s">
        <v>28</v>
      </c>
      <c r="D83" s="41">
        <v>46058</v>
      </c>
      <c r="E83" s="40" t="s">
        <v>27</v>
      </c>
      <c r="F83" s="40" t="s">
        <v>28</v>
      </c>
      <c r="G83" s="41">
        <v>46058</v>
      </c>
      <c r="H83" s="40" t="s">
        <v>27</v>
      </c>
      <c r="I83" s="40" t="s">
        <v>28</v>
      </c>
      <c r="J83" s="41">
        <v>46058</v>
      </c>
      <c r="K83" s="40" t="s">
        <v>27</v>
      </c>
      <c r="L83" s="40" t="s">
        <v>28</v>
      </c>
      <c r="M83" s="41">
        <v>46058</v>
      </c>
      <c r="N83" s="40" t="s">
        <v>29</v>
      </c>
      <c r="O83" s="40" t="s">
        <v>30</v>
      </c>
      <c r="P83" s="106"/>
      <c r="Q83" s="106"/>
    </row>
    <row r="84" spans="1:17" ht="57.6" customHeight="1">
      <c r="A84" s="40" t="s">
        <v>70</v>
      </c>
      <c r="B84" s="40"/>
      <c r="C84" s="40"/>
      <c r="D84" s="40"/>
      <c r="E84" s="40"/>
      <c r="F84" s="40"/>
      <c r="G84" s="40"/>
      <c r="H84" s="40"/>
      <c r="I84" s="40"/>
      <c r="J84" s="40"/>
      <c r="K84" s="40">
        <v>0</v>
      </c>
      <c r="L84" s="42">
        <v>0</v>
      </c>
      <c r="M84" s="42">
        <v>0</v>
      </c>
      <c r="N84" s="40">
        <v>0</v>
      </c>
      <c r="O84" s="40">
        <v>0</v>
      </c>
      <c r="P84" s="40"/>
      <c r="Q84" s="40">
        <v>1</v>
      </c>
    </row>
    <row r="85" spans="1:17" ht="72" customHeight="1">
      <c r="A85" s="40" t="s">
        <v>71</v>
      </c>
      <c r="B85" s="40"/>
      <c r="C85" s="40"/>
      <c r="D85" s="40"/>
      <c r="E85" s="40"/>
      <c r="F85" s="40"/>
      <c r="G85" s="40"/>
      <c r="H85" s="40"/>
      <c r="I85" s="40"/>
      <c r="J85" s="40"/>
      <c r="K85" s="40">
        <v>1</v>
      </c>
      <c r="L85" s="42">
        <v>0</v>
      </c>
      <c r="M85" s="42">
        <v>0</v>
      </c>
      <c r="N85" s="40">
        <v>2</v>
      </c>
      <c r="O85" s="40">
        <v>2</v>
      </c>
      <c r="P85" s="40"/>
      <c r="Q85" s="40">
        <v>1</v>
      </c>
    </row>
    <row r="86" spans="1:17" ht="57.6" customHeight="1">
      <c r="A86" s="40" t="s">
        <v>72</v>
      </c>
      <c r="B86" s="40"/>
      <c r="C86" s="40"/>
      <c r="D86" s="40"/>
      <c r="E86" s="40"/>
      <c r="F86" s="40"/>
      <c r="G86" s="40"/>
      <c r="H86" s="40"/>
      <c r="I86" s="40"/>
      <c r="J86" s="40"/>
      <c r="K86" s="40">
        <v>1</v>
      </c>
      <c r="L86" s="42">
        <v>1</v>
      </c>
      <c r="M86" s="42">
        <v>0</v>
      </c>
      <c r="N86" s="40">
        <v>6</v>
      </c>
      <c r="O86" s="40">
        <v>6</v>
      </c>
      <c r="P86" s="40"/>
      <c r="Q86" s="40">
        <v>1</v>
      </c>
    </row>
    <row r="87" spans="1:17" ht="72" customHeight="1">
      <c r="A87" s="43" t="s">
        <v>73</v>
      </c>
      <c r="B87" s="43">
        <v>64</v>
      </c>
      <c r="C87" s="44">
        <v>0.59399999999999997</v>
      </c>
      <c r="D87" s="44">
        <v>0.188</v>
      </c>
      <c r="E87" s="43">
        <v>32</v>
      </c>
      <c r="F87" s="44">
        <v>0.71899999999999997</v>
      </c>
      <c r="G87" s="44">
        <v>9.4E-2</v>
      </c>
      <c r="H87" s="43">
        <v>32</v>
      </c>
      <c r="I87" s="44">
        <v>0.71899999999999997</v>
      </c>
      <c r="J87" s="44">
        <v>9.4E-2</v>
      </c>
      <c r="K87" s="43">
        <v>2</v>
      </c>
      <c r="L87" s="43"/>
      <c r="M87" s="43"/>
      <c r="N87" s="40"/>
      <c r="O87" s="40"/>
      <c r="P87" s="40"/>
      <c r="Q87" s="43">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110" t="s">
        <v>846</v>
      </c>
      <c r="B1" s="106"/>
      <c r="C1" s="106"/>
      <c r="D1" s="106"/>
      <c r="E1" s="106"/>
      <c r="F1" s="106"/>
      <c r="G1" s="106"/>
    </row>
    <row r="2" spans="1:7" ht="37.9" customHeight="1">
      <c r="A2" s="45" t="s">
        <v>847</v>
      </c>
      <c r="B2" s="45" t="s">
        <v>848</v>
      </c>
      <c r="C2" s="45" t="s">
        <v>849</v>
      </c>
      <c r="D2" s="45" t="s">
        <v>850</v>
      </c>
      <c r="E2" s="45" t="s">
        <v>851</v>
      </c>
      <c r="F2" s="45" t="s">
        <v>852</v>
      </c>
      <c r="G2" s="45" t="s">
        <v>853</v>
      </c>
    </row>
    <row r="3" spans="1:7" ht="31.9" customHeight="1">
      <c r="A3" s="52" t="s">
        <v>854</v>
      </c>
      <c r="B3" s="52" t="s">
        <v>855</v>
      </c>
      <c r="C3" s="52" t="s">
        <v>856</v>
      </c>
      <c r="D3" s="52" t="s">
        <v>857</v>
      </c>
      <c r="E3" s="52" t="s">
        <v>858</v>
      </c>
      <c r="F3" s="52" t="s">
        <v>859</v>
      </c>
      <c r="G3" s="52" t="s">
        <v>860</v>
      </c>
    </row>
    <row r="4" spans="1:7" ht="16.149999999999999" customHeight="1">
      <c r="A4" s="46" t="s">
        <v>126</v>
      </c>
      <c r="B4" s="46" t="s">
        <v>1</v>
      </c>
      <c r="C4" s="46"/>
      <c r="D4" s="47">
        <v>457</v>
      </c>
      <c r="E4" s="47">
        <v>721</v>
      </c>
      <c r="F4" s="47">
        <v>274</v>
      </c>
      <c r="G4" s="46" t="s">
        <v>1</v>
      </c>
    </row>
    <row r="5" spans="1:7" ht="16.149999999999999" customHeight="1">
      <c r="A5" s="46" t="s">
        <v>37</v>
      </c>
      <c r="B5" s="46" t="s">
        <v>1</v>
      </c>
      <c r="C5" s="46"/>
      <c r="D5" s="47">
        <v>1500</v>
      </c>
      <c r="E5" s="47">
        <v>1796</v>
      </c>
      <c r="F5" s="47">
        <v>88</v>
      </c>
      <c r="G5" s="46" t="s">
        <v>1</v>
      </c>
    </row>
    <row r="6" spans="1:7" ht="16.149999999999999" customHeight="1">
      <c r="A6" s="46" t="s">
        <v>122</v>
      </c>
      <c r="B6" s="46" t="s">
        <v>1</v>
      </c>
      <c r="C6" s="46"/>
      <c r="D6" s="47">
        <v>1773</v>
      </c>
      <c r="E6" s="47">
        <v>2000</v>
      </c>
      <c r="F6" s="47">
        <v>89</v>
      </c>
      <c r="G6" s="46" t="s">
        <v>1</v>
      </c>
    </row>
    <row r="7" spans="1:7" ht="16.149999999999999" customHeight="1">
      <c r="A7" s="46" t="s">
        <v>209</v>
      </c>
      <c r="B7" s="46" t="s">
        <v>1</v>
      </c>
      <c r="C7" s="46"/>
      <c r="D7" s="47">
        <v>1773</v>
      </c>
      <c r="E7" s="47">
        <v>1768</v>
      </c>
      <c r="F7" s="47">
        <v>88</v>
      </c>
      <c r="G7" s="46" t="s">
        <v>1</v>
      </c>
    </row>
    <row r="8" spans="1:7" ht="16.149999999999999" customHeight="1">
      <c r="A8" s="46" t="s">
        <v>662</v>
      </c>
      <c r="B8" s="46" t="s">
        <v>1</v>
      </c>
      <c r="C8" s="46"/>
      <c r="D8" s="47">
        <v>1984</v>
      </c>
      <c r="E8" s="47">
        <v>1984</v>
      </c>
      <c r="F8" s="47">
        <v>1</v>
      </c>
      <c r="G8" s="46" t="s">
        <v>1</v>
      </c>
    </row>
    <row r="9" spans="1:7" ht="16.149999999999999" customHeight="1">
      <c r="A9" s="46" t="s">
        <v>104</v>
      </c>
      <c r="B9" s="46" t="s">
        <v>1</v>
      </c>
      <c r="C9" s="46" t="s">
        <v>861</v>
      </c>
      <c r="D9" s="47">
        <v>1544</v>
      </c>
      <c r="E9" s="47">
        <v>1824</v>
      </c>
      <c r="F9" s="47">
        <v>30</v>
      </c>
      <c r="G9" s="46" t="s">
        <v>1</v>
      </c>
    </row>
    <row r="10" spans="1:7" ht="16.149999999999999" customHeight="1">
      <c r="A10" s="46" t="s">
        <v>104</v>
      </c>
      <c r="B10" s="46" t="s">
        <v>1</v>
      </c>
      <c r="C10" s="46" t="s">
        <v>862</v>
      </c>
      <c r="D10" s="47">
        <v>1858</v>
      </c>
      <c r="E10" s="47">
        <v>2161</v>
      </c>
      <c r="F10" s="47">
        <v>40</v>
      </c>
      <c r="G10" s="46" t="s">
        <v>1</v>
      </c>
    </row>
    <row r="11" spans="1:7" ht="16.149999999999999" customHeight="1">
      <c r="A11" s="46" t="s">
        <v>104</v>
      </c>
      <c r="B11" s="46" t="s">
        <v>1</v>
      </c>
      <c r="C11" s="46" t="s">
        <v>863</v>
      </c>
      <c r="D11" s="47">
        <v>2006</v>
      </c>
      <c r="E11" s="47">
        <v>2212</v>
      </c>
      <c r="F11" s="47">
        <v>28</v>
      </c>
      <c r="G11" s="46" t="s">
        <v>1</v>
      </c>
    </row>
    <row r="12" spans="1:7" ht="16.149999999999999" customHeight="1">
      <c r="A12" s="46" t="s">
        <v>99</v>
      </c>
      <c r="B12" s="46" t="s">
        <v>1</v>
      </c>
      <c r="C12" s="46" t="s">
        <v>864</v>
      </c>
      <c r="D12" s="47"/>
      <c r="E12" s="47">
        <v>1239</v>
      </c>
      <c r="F12" s="47">
        <v>113</v>
      </c>
      <c r="G12" s="46" t="s">
        <v>1</v>
      </c>
    </row>
    <row r="13" spans="1:7" ht="16.149999999999999" customHeight="1">
      <c r="A13" s="46" t="s">
        <v>99</v>
      </c>
      <c r="B13" s="46" t="s">
        <v>1</v>
      </c>
      <c r="C13" s="46" t="s">
        <v>865</v>
      </c>
      <c r="D13" s="47"/>
      <c r="E13" s="47">
        <v>1240</v>
      </c>
      <c r="F13" s="47">
        <v>11</v>
      </c>
      <c r="G13" s="46" t="s">
        <v>1</v>
      </c>
    </row>
    <row r="14" spans="1:7" ht="16.149999999999999" customHeight="1">
      <c r="A14" s="46" t="s">
        <v>280</v>
      </c>
      <c r="B14" s="46" t="s">
        <v>1</v>
      </c>
      <c r="C14" s="46" t="s">
        <v>864</v>
      </c>
      <c r="D14" s="47"/>
      <c r="E14" s="47">
        <v>1474</v>
      </c>
      <c r="F14" s="47">
        <v>137</v>
      </c>
      <c r="G14" s="46" t="s">
        <v>1</v>
      </c>
    </row>
    <row r="15" spans="1:7" ht="16.149999999999999" customHeight="1">
      <c r="A15" s="46" t="s">
        <v>185</v>
      </c>
      <c r="B15" s="46" t="s">
        <v>1</v>
      </c>
      <c r="C15" s="46" t="s">
        <v>866</v>
      </c>
      <c r="D15" s="47"/>
      <c r="E15" s="47">
        <v>2188</v>
      </c>
      <c r="F15" s="47">
        <v>43</v>
      </c>
      <c r="G15" s="46" t="s">
        <v>1</v>
      </c>
    </row>
    <row r="16" spans="1:7" ht="16.149999999999999" customHeight="1">
      <c r="A16" s="46" t="s">
        <v>112</v>
      </c>
      <c r="B16" s="46" t="s">
        <v>1</v>
      </c>
      <c r="C16" s="46"/>
      <c r="D16" s="47">
        <v>1500</v>
      </c>
      <c r="E16" s="47">
        <v>2210</v>
      </c>
      <c r="F16" s="47">
        <v>53</v>
      </c>
      <c r="G16" s="46" t="s">
        <v>1</v>
      </c>
    </row>
    <row r="17" spans="1:7" ht="16.149999999999999" customHeight="1">
      <c r="A17" s="46" t="s">
        <v>115</v>
      </c>
      <c r="B17" s="46" t="s">
        <v>1</v>
      </c>
      <c r="C17" s="46"/>
      <c r="D17" s="47">
        <v>1998</v>
      </c>
      <c r="E17" s="47">
        <v>2206</v>
      </c>
      <c r="F17" s="47">
        <v>23</v>
      </c>
      <c r="G17" s="46" t="s">
        <v>1</v>
      </c>
    </row>
    <row r="18" spans="1:7" ht="16.149999999999999" customHeight="1">
      <c r="A18" s="46" t="s">
        <v>342</v>
      </c>
      <c r="B18" s="46" t="s">
        <v>1</v>
      </c>
      <c r="C18" s="46"/>
      <c r="D18" s="47">
        <v>126</v>
      </c>
      <c r="E18" s="47">
        <v>282</v>
      </c>
      <c r="F18" s="47">
        <v>68</v>
      </c>
      <c r="G18" s="46" t="s">
        <v>1</v>
      </c>
    </row>
    <row r="19" spans="1:7" ht="16.149999999999999" customHeight="1">
      <c r="A19" s="46" t="s">
        <v>141</v>
      </c>
      <c r="B19" s="46" t="s">
        <v>1</v>
      </c>
      <c r="C19" s="46"/>
      <c r="D19" s="47">
        <v>61</v>
      </c>
      <c r="E19" s="47">
        <v>306</v>
      </c>
      <c r="F19" s="47">
        <v>68</v>
      </c>
      <c r="G19" s="46" t="s">
        <v>1</v>
      </c>
    </row>
    <row r="20" spans="1:7" ht="16.149999999999999" customHeight="1">
      <c r="A20" s="46" t="s">
        <v>255</v>
      </c>
      <c r="B20" s="46" t="s">
        <v>1</v>
      </c>
      <c r="C20" s="46"/>
      <c r="D20" s="47">
        <v>1998</v>
      </c>
      <c r="E20" s="47">
        <v>363</v>
      </c>
      <c r="F20" s="47">
        <v>68</v>
      </c>
      <c r="G20" s="46" t="s">
        <v>1</v>
      </c>
    </row>
    <row r="21" spans="1:7" ht="16.149999999999999" customHeight="1">
      <c r="A21" s="46" t="s">
        <v>367</v>
      </c>
      <c r="B21" s="46" t="s">
        <v>1</v>
      </c>
      <c r="C21" s="46"/>
      <c r="D21" s="47">
        <v>161</v>
      </c>
      <c r="E21" s="47">
        <v>295</v>
      </c>
      <c r="F21" s="47">
        <v>68</v>
      </c>
      <c r="G21" s="46" t="s">
        <v>1</v>
      </c>
    </row>
    <row r="22" spans="1:7" ht="16.149999999999999" customHeight="1">
      <c r="A22" s="46" t="s">
        <v>740</v>
      </c>
      <c r="B22" s="46" t="s">
        <v>1</v>
      </c>
      <c r="C22" s="46"/>
      <c r="D22" s="47">
        <v>556</v>
      </c>
      <c r="E22" s="47">
        <v>684</v>
      </c>
      <c r="F22" s="47">
        <v>9</v>
      </c>
      <c r="G22" s="46" t="s">
        <v>1</v>
      </c>
    </row>
    <row r="23" spans="1:7" ht="16.149999999999999" customHeight="1">
      <c r="A23" s="46" t="s">
        <v>749</v>
      </c>
      <c r="B23" s="46" t="s">
        <v>1</v>
      </c>
      <c r="C23" s="46"/>
      <c r="D23" s="47">
        <v>410</v>
      </c>
      <c r="E23" s="47">
        <v>423</v>
      </c>
      <c r="F23" s="47">
        <v>3</v>
      </c>
      <c r="G23" s="46" t="s">
        <v>1</v>
      </c>
    </row>
    <row r="24" spans="1:7" ht="16.149999999999999" customHeight="1">
      <c r="A24" s="46" t="s">
        <v>753</v>
      </c>
      <c r="B24" s="46" t="s">
        <v>1</v>
      </c>
      <c r="C24" s="46"/>
      <c r="D24" s="47">
        <v>192</v>
      </c>
      <c r="E24" s="47">
        <v>197</v>
      </c>
      <c r="F24" s="47">
        <v>2</v>
      </c>
      <c r="G24" s="46" t="s">
        <v>1</v>
      </c>
    </row>
    <row r="25" spans="1:7" ht="16.149999999999999" customHeight="1">
      <c r="A25" s="46" t="s">
        <v>745</v>
      </c>
      <c r="B25" s="46" t="s">
        <v>1</v>
      </c>
      <c r="C25" s="46"/>
      <c r="D25" s="47">
        <v>84</v>
      </c>
      <c r="E25" s="47">
        <v>123</v>
      </c>
      <c r="F25" s="47">
        <v>4</v>
      </c>
      <c r="G25" s="46" t="s">
        <v>1</v>
      </c>
    </row>
    <row r="26" spans="1:7" ht="16.149999999999999" customHeight="1">
      <c r="A26" s="46" t="s">
        <v>757</v>
      </c>
      <c r="B26" s="46" t="s">
        <v>1</v>
      </c>
      <c r="C26" s="46"/>
      <c r="D26" s="47">
        <v>12</v>
      </c>
      <c r="E26" s="47">
        <v>16</v>
      </c>
      <c r="F26" s="47">
        <v>2</v>
      </c>
      <c r="G26" s="46" t="s">
        <v>1</v>
      </c>
    </row>
    <row r="27" spans="1:7" ht="16.149999999999999" customHeight="1">
      <c r="A27" s="46" t="s">
        <v>761</v>
      </c>
      <c r="B27" s="46" t="s">
        <v>1</v>
      </c>
      <c r="C27" s="46"/>
      <c r="D27" s="47">
        <v>512</v>
      </c>
      <c r="E27" s="47">
        <v>522</v>
      </c>
      <c r="F27" s="47">
        <v>3</v>
      </c>
      <c r="G27" s="46" t="s">
        <v>1</v>
      </c>
    </row>
    <row r="28" spans="1:7" ht="16.149999999999999" customHeight="1">
      <c r="A28" s="48" t="s">
        <v>126</v>
      </c>
      <c r="B28" s="48" t="s">
        <v>8</v>
      </c>
      <c r="C28" s="48"/>
      <c r="D28" s="49">
        <v>19</v>
      </c>
      <c r="E28" s="49">
        <v>47</v>
      </c>
      <c r="F28" s="49">
        <v>12</v>
      </c>
      <c r="G28" s="48" t="s">
        <v>8</v>
      </c>
    </row>
    <row r="29" spans="1:7" ht="16.149999999999999" customHeight="1">
      <c r="A29" s="48" t="s">
        <v>280</v>
      </c>
      <c r="B29" s="48" t="s">
        <v>8</v>
      </c>
      <c r="C29" s="48" t="s">
        <v>864</v>
      </c>
      <c r="D29" s="49"/>
      <c r="E29" s="49">
        <v>30</v>
      </c>
      <c r="F29" s="49">
        <v>4</v>
      </c>
      <c r="G29" s="48" t="s">
        <v>8</v>
      </c>
    </row>
    <row r="30" spans="1:7" ht="16.149999999999999" customHeight="1">
      <c r="A30" s="48" t="s">
        <v>185</v>
      </c>
      <c r="B30" s="48" t="s">
        <v>8</v>
      </c>
      <c r="C30" s="48" t="s">
        <v>866</v>
      </c>
      <c r="D30" s="49"/>
      <c r="E30" s="49">
        <v>102</v>
      </c>
      <c r="F30" s="49">
        <v>2</v>
      </c>
      <c r="G30" s="48" t="s">
        <v>8</v>
      </c>
    </row>
    <row r="31" spans="1:7" ht="16.149999999999999" customHeight="1">
      <c r="A31" s="48" t="s">
        <v>104</v>
      </c>
      <c r="B31" s="48" t="s">
        <v>8</v>
      </c>
      <c r="C31" s="48" t="s">
        <v>863</v>
      </c>
      <c r="D31" s="49">
        <v>71</v>
      </c>
      <c r="E31" s="49">
        <v>99</v>
      </c>
      <c r="F31" s="49">
        <v>3</v>
      </c>
      <c r="G31" s="48" t="s">
        <v>8</v>
      </c>
    </row>
    <row r="32" spans="1:7" ht="16.149999999999999" customHeight="1">
      <c r="A32" s="48" t="s">
        <v>104</v>
      </c>
      <c r="B32" s="48" t="s">
        <v>8</v>
      </c>
      <c r="C32" s="48" t="s">
        <v>861</v>
      </c>
      <c r="D32" s="49"/>
      <c r="E32" s="49">
        <v>60</v>
      </c>
      <c r="F32" s="49">
        <v>1</v>
      </c>
      <c r="G32" s="48" t="s">
        <v>8</v>
      </c>
    </row>
    <row r="33" spans="1:7" ht="16.149999999999999" customHeight="1">
      <c r="A33" s="48" t="s">
        <v>37</v>
      </c>
      <c r="B33" s="48" t="s">
        <v>8</v>
      </c>
      <c r="C33" s="48"/>
      <c r="D33" s="49">
        <v>82</v>
      </c>
      <c r="E33" s="49">
        <v>100</v>
      </c>
      <c r="F33" s="49">
        <v>8</v>
      </c>
      <c r="G33" s="48" t="s">
        <v>8</v>
      </c>
    </row>
    <row r="34" spans="1:7" ht="16.149999999999999" customHeight="1">
      <c r="A34" s="48" t="s">
        <v>229</v>
      </c>
      <c r="B34" s="48" t="s">
        <v>8</v>
      </c>
      <c r="C34" s="48"/>
      <c r="D34" s="49"/>
      <c r="E34" s="49">
        <v>103</v>
      </c>
      <c r="F34" s="49">
        <v>3</v>
      </c>
      <c r="G34" s="48" t="s">
        <v>8</v>
      </c>
    </row>
    <row r="35" spans="1:7" ht="16.149999999999999" customHeight="1">
      <c r="A35" s="48" t="s">
        <v>122</v>
      </c>
      <c r="B35" s="48" t="s">
        <v>8</v>
      </c>
      <c r="C35" s="48"/>
      <c r="D35" s="49">
        <v>80</v>
      </c>
      <c r="E35" s="49">
        <v>97</v>
      </c>
      <c r="F35" s="49">
        <v>10</v>
      </c>
      <c r="G35" s="48" t="s">
        <v>8</v>
      </c>
    </row>
    <row r="36" spans="1:7" ht="16.149999999999999" customHeight="1">
      <c r="A36" s="48" t="s">
        <v>209</v>
      </c>
      <c r="B36" s="48" t="s">
        <v>8</v>
      </c>
      <c r="C36" s="48"/>
      <c r="D36" s="49">
        <v>80</v>
      </c>
      <c r="E36" s="49">
        <v>55</v>
      </c>
      <c r="F36" s="49">
        <v>8</v>
      </c>
      <c r="G36" s="48" t="s">
        <v>8</v>
      </c>
    </row>
    <row r="37" spans="1:7" ht="16.149999999999999" customHeight="1">
      <c r="A37" s="48" t="s">
        <v>99</v>
      </c>
      <c r="B37" s="48" t="s">
        <v>8</v>
      </c>
      <c r="C37" s="48" t="s">
        <v>864</v>
      </c>
      <c r="D37" s="49"/>
      <c r="E37" s="49">
        <v>61</v>
      </c>
      <c r="F37" s="49">
        <v>4</v>
      </c>
      <c r="G37" s="48" t="s">
        <v>8</v>
      </c>
    </row>
    <row r="38" spans="1:7" ht="16.149999999999999" customHeight="1">
      <c r="A38" s="48" t="s">
        <v>99</v>
      </c>
      <c r="B38" s="48" t="s">
        <v>8</v>
      </c>
      <c r="C38" s="48" t="s">
        <v>865</v>
      </c>
      <c r="D38" s="49"/>
      <c r="E38" s="49">
        <v>101</v>
      </c>
      <c r="F38" s="49">
        <v>6</v>
      </c>
      <c r="G38" s="48" t="s">
        <v>8</v>
      </c>
    </row>
    <row r="39" spans="1:7" ht="16.149999999999999" customHeight="1">
      <c r="A39" s="48" t="s">
        <v>115</v>
      </c>
      <c r="B39" s="48" t="s">
        <v>8</v>
      </c>
      <c r="C39" s="48"/>
      <c r="D39" s="49">
        <v>98</v>
      </c>
      <c r="E39" s="49">
        <v>105</v>
      </c>
      <c r="F39" s="49">
        <v>4</v>
      </c>
      <c r="G39" s="48" t="s">
        <v>8</v>
      </c>
    </row>
    <row r="40" spans="1:7" ht="16.149999999999999" customHeight="1">
      <c r="A40" s="48" t="s">
        <v>112</v>
      </c>
      <c r="B40" s="48" t="s">
        <v>8</v>
      </c>
      <c r="C40" s="48"/>
      <c r="D40" s="49">
        <v>27</v>
      </c>
      <c r="E40" s="49">
        <v>98</v>
      </c>
      <c r="F40" s="49">
        <v>5</v>
      </c>
      <c r="G40" s="48" t="s">
        <v>8</v>
      </c>
    </row>
    <row r="41" spans="1:7" ht="16.149999999999999" customHeight="1">
      <c r="A41" s="53" t="s">
        <v>342</v>
      </c>
      <c r="B41" s="53" t="s">
        <v>8</v>
      </c>
      <c r="C41" s="53"/>
      <c r="D41" s="54">
        <v>10</v>
      </c>
      <c r="E41" s="54">
        <v>12</v>
      </c>
      <c r="F41" s="54">
        <v>2</v>
      </c>
      <c r="G41" s="53" t="s">
        <v>867</v>
      </c>
    </row>
    <row r="42" spans="1:7" ht="16.149999999999999" customHeight="1">
      <c r="A42" s="48" t="s">
        <v>141</v>
      </c>
      <c r="B42" s="48" t="s">
        <v>8</v>
      </c>
      <c r="C42" s="48"/>
      <c r="D42" s="49">
        <v>70</v>
      </c>
      <c r="E42" s="49">
        <v>10</v>
      </c>
      <c r="F42" s="49">
        <v>2</v>
      </c>
      <c r="G42" s="48" t="s">
        <v>8</v>
      </c>
    </row>
    <row r="43" spans="1:7" ht="16.149999999999999" customHeight="1">
      <c r="A43" s="48" t="s">
        <v>255</v>
      </c>
      <c r="B43" s="48" t="s">
        <v>8</v>
      </c>
      <c r="C43" s="48"/>
      <c r="D43" s="49">
        <v>98</v>
      </c>
      <c r="E43" s="49">
        <v>11</v>
      </c>
      <c r="F43" s="49">
        <v>2</v>
      </c>
      <c r="G43" s="48" t="s">
        <v>8</v>
      </c>
    </row>
    <row r="44" spans="1:7" ht="16.149999999999999" customHeight="1">
      <c r="A44" s="53" t="s">
        <v>367</v>
      </c>
      <c r="B44" s="53" t="s">
        <v>8</v>
      </c>
      <c r="C44" s="53"/>
      <c r="D44" s="54">
        <v>3</v>
      </c>
      <c r="E44" s="54">
        <v>6</v>
      </c>
      <c r="F44" s="54">
        <v>3</v>
      </c>
      <c r="G44" s="53" t="s">
        <v>867</v>
      </c>
    </row>
    <row r="45" spans="1:7" ht="16.149999999999999" customHeight="1">
      <c r="A45" s="57" t="s">
        <v>699</v>
      </c>
      <c r="B45" s="57" t="s">
        <v>545</v>
      </c>
      <c r="C45" s="57"/>
      <c r="D45" s="58">
        <v>539</v>
      </c>
      <c r="E45" s="58">
        <v>643</v>
      </c>
      <c r="F45" s="58">
        <v>8</v>
      </c>
      <c r="G45" s="57" t="s">
        <v>545</v>
      </c>
    </row>
    <row r="46" spans="1:7" ht="16.149999999999999" customHeight="1">
      <c r="A46" s="50" t="s">
        <v>229</v>
      </c>
      <c r="B46" s="50" t="s">
        <v>545</v>
      </c>
      <c r="C46" s="50"/>
      <c r="D46" s="51"/>
      <c r="E46" s="51">
        <v>383</v>
      </c>
      <c r="F46" s="51">
        <v>8</v>
      </c>
      <c r="G46" s="50" t="s">
        <v>545</v>
      </c>
    </row>
    <row r="47" spans="1:7" ht="16.149999999999999" customHeight="1">
      <c r="A47" s="50" t="s">
        <v>88</v>
      </c>
      <c r="B47" s="50" t="s">
        <v>545</v>
      </c>
      <c r="C47" s="50"/>
      <c r="D47" s="51">
        <v>544</v>
      </c>
      <c r="E47" s="59"/>
      <c r="F47" s="51">
        <v>3</v>
      </c>
      <c r="G47" s="50" t="s">
        <v>545</v>
      </c>
    </row>
    <row r="48" spans="1:7" ht="16.149999999999999" customHeight="1">
      <c r="A48" s="50" t="s">
        <v>88</v>
      </c>
      <c r="B48" s="50" t="s">
        <v>545</v>
      </c>
      <c r="C48" s="50" t="s">
        <v>883</v>
      </c>
      <c r="D48" s="51">
        <v>190</v>
      </c>
      <c r="E48" s="59"/>
      <c r="F48" s="51">
        <v>70</v>
      </c>
      <c r="G48" s="50" t="s">
        <v>545</v>
      </c>
    </row>
    <row r="49" spans="1:7" ht="16.149999999999999" customHeight="1">
      <c r="A49" s="50" t="s">
        <v>88</v>
      </c>
      <c r="B49" s="50" t="s">
        <v>545</v>
      </c>
      <c r="C49" s="50" t="s">
        <v>80</v>
      </c>
      <c r="D49" s="51">
        <v>366</v>
      </c>
      <c r="E49" s="59"/>
      <c r="F49" s="51">
        <v>4</v>
      </c>
      <c r="G49" s="50" t="s">
        <v>545</v>
      </c>
    </row>
    <row r="50" spans="1:7" ht="16.149999999999999" customHeight="1">
      <c r="A50" s="53" t="s">
        <v>695</v>
      </c>
      <c r="B50" s="53" t="s">
        <v>545</v>
      </c>
      <c r="C50" s="53"/>
      <c r="D50" s="54">
        <v>8</v>
      </c>
      <c r="E50" s="54">
        <v>581</v>
      </c>
      <c r="F50" s="54">
        <v>20</v>
      </c>
      <c r="G50" s="53" t="s">
        <v>545</v>
      </c>
    </row>
    <row r="51" spans="1:7" ht="16.149999999999999" customHeight="1">
      <c r="A51" s="55" t="s">
        <v>703</v>
      </c>
      <c r="B51" s="55" t="s">
        <v>545</v>
      </c>
      <c r="C51" s="55"/>
      <c r="D51" s="56">
        <v>1</v>
      </c>
      <c r="E51" s="56">
        <v>686</v>
      </c>
      <c r="F51" s="56">
        <v>3</v>
      </c>
      <c r="G51" s="55" t="s">
        <v>868</v>
      </c>
    </row>
    <row r="52" spans="1:7" ht="16.149999999999999" customHeight="1">
      <c r="A52" s="50" t="s">
        <v>667</v>
      </c>
      <c r="B52" s="50" t="s">
        <v>545</v>
      </c>
      <c r="C52" s="50"/>
      <c r="D52" s="51"/>
      <c r="E52" s="51">
        <v>198</v>
      </c>
      <c r="F52" s="51">
        <v>7</v>
      </c>
      <c r="G52" s="50" t="s">
        <v>545</v>
      </c>
    </row>
    <row r="53" spans="1:7" ht="16.149999999999999" customHeight="1">
      <c r="A53" s="50" t="s">
        <v>672</v>
      </c>
      <c r="B53" s="50" t="s">
        <v>545</v>
      </c>
      <c r="C53" s="50"/>
      <c r="D53" s="51"/>
      <c r="E53" s="51">
        <v>297</v>
      </c>
      <c r="F53" s="51">
        <v>5</v>
      </c>
      <c r="G53" s="50" t="s">
        <v>545</v>
      </c>
    </row>
    <row r="54" spans="1:7" ht="16.149999999999999" customHeight="1">
      <c r="A54" s="50" t="s">
        <v>677</v>
      </c>
      <c r="B54" s="50" t="s">
        <v>545</v>
      </c>
      <c r="C54" s="50"/>
      <c r="D54" s="51"/>
      <c r="E54" s="51">
        <v>463</v>
      </c>
      <c r="F54" s="51">
        <v>3</v>
      </c>
      <c r="G54" s="50" t="s">
        <v>545</v>
      </c>
    </row>
    <row r="55" spans="1:7" ht="16.149999999999999" customHeight="1">
      <c r="A55" s="53" t="s">
        <v>136</v>
      </c>
      <c r="B55" s="53" t="s">
        <v>1</v>
      </c>
      <c r="C55" s="53"/>
      <c r="D55" s="54">
        <v>30</v>
      </c>
      <c r="E55" s="54"/>
      <c r="F55" s="54">
        <v>11</v>
      </c>
      <c r="G55" s="53" t="s">
        <v>867</v>
      </c>
    </row>
    <row r="56" spans="1:7" ht="16.149999999999999" customHeight="1">
      <c r="A56" s="53" t="s">
        <v>136</v>
      </c>
      <c r="B56" s="53" t="s">
        <v>8</v>
      </c>
      <c r="C56" s="53"/>
      <c r="D56" s="54">
        <v>3</v>
      </c>
      <c r="E56" s="54"/>
      <c r="F56" s="54">
        <v>1</v>
      </c>
      <c r="G56" s="53" t="s">
        <v>867</v>
      </c>
    </row>
    <row r="57" spans="1:7" ht="16.149999999999999" customHeight="1">
      <c r="A57" s="55" t="s">
        <v>337</v>
      </c>
      <c r="B57" s="55" t="s">
        <v>1</v>
      </c>
      <c r="C57" s="55" t="s">
        <v>869</v>
      </c>
      <c r="D57" s="56">
        <v>904</v>
      </c>
      <c r="E57" s="56"/>
      <c r="F57" s="56">
        <v>6</v>
      </c>
      <c r="G57" s="55" t="s">
        <v>868</v>
      </c>
    </row>
    <row r="58" spans="1:7" ht="16.149999999999999" customHeight="1">
      <c r="A58" s="55" t="s">
        <v>337</v>
      </c>
      <c r="B58" s="55" t="s">
        <v>8</v>
      </c>
      <c r="C58" s="55" t="s">
        <v>869</v>
      </c>
      <c r="D58" s="56">
        <v>30</v>
      </c>
      <c r="E58" s="56"/>
      <c r="F58" s="56">
        <v>1</v>
      </c>
      <c r="G58" s="55" t="s">
        <v>868</v>
      </c>
    </row>
    <row r="59" spans="1:7" ht="16.149999999999999" customHeight="1">
      <c r="A59" s="55" t="s">
        <v>167</v>
      </c>
      <c r="B59" s="55" t="s">
        <v>1</v>
      </c>
      <c r="C59" s="55" t="s">
        <v>870</v>
      </c>
      <c r="D59" s="56">
        <v>733</v>
      </c>
      <c r="E59" s="56"/>
      <c r="F59" s="56">
        <v>3</v>
      </c>
      <c r="G59" s="55" t="s">
        <v>868</v>
      </c>
    </row>
    <row r="60" spans="1:7" ht="16.149999999999999" customHeight="1">
      <c r="A60" s="55" t="s">
        <v>91</v>
      </c>
      <c r="B60" s="55" t="s">
        <v>1</v>
      </c>
      <c r="C60" s="55" t="s">
        <v>871</v>
      </c>
      <c r="D60" s="56">
        <v>821</v>
      </c>
      <c r="E60" s="56"/>
      <c r="F60" s="56">
        <v>14</v>
      </c>
      <c r="G60" s="55" t="s">
        <v>868</v>
      </c>
    </row>
    <row r="61" spans="1:7" ht="16.149999999999999" customHeight="1">
      <c r="A61" s="55" t="s">
        <v>91</v>
      </c>
      <c r="B61" s="55" t="s">
        <v>8</v>
      </c>
      <c r="C61" s="55" t="s">
        <v>871</v>
      </c>
      <c r="D61" s="56">
        <v>55</v>
      </c>
      <c r="E61" s="56"/>
      <c r="F61" s="56">
        <v>1</v>
      </c>
      <c r="G61" s="55" t="s">
        <v>868</v>
      </c>
    </row>
    <row r="62" spans="1:7" ht="16.149999999999999" customHeight="1">
      <c r="A62" s="55" t="s">
        <v>191</v>
      </c>
      <c r="B62" s="55" t="s">
        <v>1</v>
      </c>
      <c r="C62" s="55" t="s">
        <v>872</v>
      </c>
      <c r="D62" s="56">
        <v>828</v>
      </c>
      <c r="E62" s="56"/>
      <c r="F62" s="56">
        <v>3</v>
      </c>
      <c r="G62" s="55" t="s">
        <v>868</v>
      </c>
    </row>
    <row r="63" spans="1:7" ht="16.149999999999999" customHeight="1">
      <c r="A63" s="55" t="s">
        <v>191</v>
      </c>
      <c r="B63" s="55" t="s">
        <v>8</v>
      </c>
      <c r="C63" s="55" t="s">
        <v>872</v>
      </c>
      <c r="D63" s="56">
        <v>52</v>
      </c>
      <c r="E63" s="56"/>
      <c r="F63" s="56">
        <v>1</v>
      </c>
      <c r="G63" s="55" t="s">
        <v>868</v>
      </c>
    </row>
    <row r="64" spans="1:7" ht="16.149999999999999" customHeight="1">
      <c r="A64" s="55" t="s">
        <v>144</v>
      </c>
      <c r="B64" s="55" t="s">
        <v>1</v>
      </c>
      <c r="C64" s="55" t="s">
        <v>873</v>
      </c>
      <c r="D64" s="56">
        <v>817</v>
      </c>
      <c r="E64" s="56"/>
      <c r="F64" s="56">
        <v>8</v>
      </c>
      <c r="G64" s="55" t="s">
        <v>868</v>
      </c>
    </row>
    <row r="65" spans="1:7" ht="16.149999999999999" customHeight="1">
      <c r="A65" s="55" t="s">
        <v>144</v>
      </c>
      <c r="B65" s="55" t="s">
        <v>8</v>
      </c>
      <c r="C65" s="55" t="s">
        <v>873</v>
      </c>
      <c r="D65" s="56">
        <v>48</v>
      </c>
      <c r="E65" s="56"/>
      <c r="F65" s="56">
        <v>1</v>
      </c>
      <c r="G65" s="55" t="s">
        <v>868</v>
      </c>
    </row>
    <row r="66" spans="1:7" ht="16.149999999999999" customHeight="1">
      <c r="A66" s="55" t="s">
        <v>85</v>
      </c>
      <c r="B66" s="55" t="s">
        <v>1</v>
      </c>
      <c r="C66" s="55" t="s">
        <v>874</v>
      </c>
      <c r="D66" s="56">
        <v>910</v>
      </c>
      <c r="E66" s="56"/>
      <c r="F66" s="56">
        <v>6</v>
      </c>
      <c r="G66" s="55" t="s">
        <v>868</v>
      </c>
    </row>
    <row r="67" spans="1:7" ht="16.149999999999999" customHeight="1">
      <c r="A67" s="55" t="s">
        <v>319</v>
      </c>
      <c r="B67" s="55" t="s">
        <v>1</v>
      </c>
      <c r="C67" s="55" t="s">
        <v>875</v>
      </c>
      <c r="D67" s="56">
        <v>612</v>
      </c>
      <c r="E67" s="56"/>
      <c r="F67" s="56">
        <v>9</v>
      </c>
      <c r="G67" s="55" t="s">
        <v>868</v>
      </c>
    </row>
    <row r="68" spans="1:7" ht="16.149999999999999" customHeight="1">
      <c r="A68" s="55" t="s">
        <v>319</v>
      </c>
      <c r="B68" s="55" t="s">
        <v>8</v>
      </c>
      <c r="C68" s="55" t="s">
        <v>875</v>
      </c>
      <c r="D68" s="56">
        <v>26</v>
      </c>
      <c r="E68" s="56"/>
      <c r="F68" s="56">
        <v>1</v>
      </c>
      <c r="G68" s="55" t="s">
        <v>868</v>
      </c>
    </row>
    <row r="69" spans="1:7" ht="16.149999999999999" customHeight="1">
      <c r="A69" s="55" t="s">
        <v>264</v>
      </c>
      <c r="B69" s="55" t="s">
        <v>1</v>
      </c>
      <c r="C69" s="55" t="s">
        <v>876</v>
      </c>
      <c r="D69" s="56">
        <v>834</v>
      </c>
      <c r="E69" s="56"/>
      <c r="F69" s="56">
        <v>6</v>
      </c>
      <c r="G69" s="55" t="s">
        <v>868</v>
      </c>
    </row>
    <row r="70" spans="1:7" ht="16.149999999999999" customHeight="1">
      <c r="A70" s="55" t="s">
        <v>264</v>
      </c>
      <c r="B70" s="55" t="s">
        <v>8</v>
      </c>
      <c r="C70" s="55" t="s">
        <v>876</v>
      </c>
      <c r="D70" s="56">
        <v>49</v>
      </c>
      <c r="E70" s="56"/>
      <c r="F70" s="56">
        <v>1</v>
      </c>
      <c r="G70" s="55" t="s">
        <v>868</v>
      </c>
    </row>
    <row r="71" spans="1:7" ht="16.149999999999999" customHeight="1">
      <c r="A71" s="55" t="s">
        <v>425</v>
      </c>
      <c r="B71" s="55" t="s">
        <v>1</v>
      </c>
      <c r="C71" s="55" t="s">
        <v>877</v>
      </c>
      <c r="D71" s="56">
        <v>1021</v>
      </c>
      <c r="E71" s="56"/>
      <c r="F71" s="56">
        <v>1</v>
      </c>
      <c r="G71" s="55" t="s">
        <v>868</v>
      </c>
    </row>
    <row r="72" spans="1:7" ht="16.149999999999999" customHeight="1">
      <c r="A72" s="55" t="s">
        <v>455</v>
      </c>
      <c r="B72" s="55" t="s">
        <v>1</v>
      </c>
      <c r="C72" s="55" t="s">
        <v>878</v>
      </c>
      <c r="D72" s="56">
        <v>489</v>
      </c>
      <c r="E72" s="56"/>
      <c r="F72" s="56">
        <v>5</v>
      </c>
      <c r="G72" s="55" t="s">
        <v>868</v>
      </c>
    </row>
    <row r="73" spans="1:7" ht="16.149999999999999" customHeight="1">
      <c r="A73" s="55" t="s">
        <v>687</v>
      </c>
      <c r="B73" s="55" t="s">
        <v>1</v>
      </c>
      <c r="C73" s="55" t="s">
        <v>879</v>
      </c>
      <c r="D73" s="56">
        <v>1000</v>
      </c>
      <c r="E73" s="56"/>
      <c r="F73" s="56">
        <v>6</v>
      </c>
      <c r="G73" s="55" t="s">
        <v>868</v>
      </c>
    </row>
    <row r="74" spans="1:7" ht="16.149999999999999" customHeight="1">
      <c r="A74" s="55" t="s">
        <v>691</v>
      </c>
      <c r="B74" s="55" t="s">
        <v>1</v>
      </c>
      <c r="C74" s="55" t="s">
        <v>880</v>
      </c>
      <c r="D74" s="56">
        <v>1025</v>
      </c>
      <c r="E74" s="56"/>
      <c r="F74" s="56">
        <v>4</v>
      </c>
      <c r="G74" s="55" t="s">
        <v>868</v>
      </c>
    </row>
    <row r="75" spans="1:7" ht="16.149999999999999" customHeight="1">
      <c r="A75" s="55" t="s">
        <v>194</v>
      </c>
      <c r="B75" s="55" t="s">
        <v>1</v>
      </c>
      <c r="C75" s="55" t="s">
        <v>881</v>
      </c>
      <c r="D75" s="56">
        <v>784</v>
      </c>
      <c r="E75" s="56"/>
      <c r="F75" s="56">
        <v>3</v>
      </c>
      <c r="G75" s="55" t="s">
        <v>868</v>
      </c>
    </row>
    <row r="76" spans="1:7" ht="16.149999999999999" customHeight="1">
      <c r="A76" s="55" t="s">
        <v>194</v>
      </c>
      <c r="B76" s="55" t="s">
        <v>8</v>
      </c>
      <c r="C76" s="55" t="s">
        <v>881</v>
      </c>
      <c r="D76" s="56">
        <v>72</v>
      </c>
      <c r="E76" s="56"/>
      <c r="F76" s="56">
        <v>1</v>
      </c>
      <c r="G76" s="55" t="s">
        <v>868</v>
      </c>
    </row>
    <row r="78" spans="1:7">
      <c r="A78" s="109" t="s">
        <v>882</v>
      </c>
      <c r="B78" s="106"/>
      <c r="C78" s="106"/>
      <c r="D78" s="106"/>
      <c r="E78" s="106"/>
      <c r="F78" s="106"/>
      <c r="G78" s="106"/>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2026-10-02T21:35:51Z</dcterms:modified>
</cp:coreProperties>
</file>