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Bruno\Nextcloud2\Boulot 2026\Site orientation\"/>
    </mc:Choice>
  </mc:AlternateContent>
  <xr:revisionPtr revIDLastSave="0" documentId="13_ncr:1_{5C51AB23-A40C-476F-9710-7B388598CCCA}" xr6:coauthVersionLast="47" xr6:coauthVersionMax="47" xr10:uidLastSave="{00000000-0000-0000-0000-000000000000}"/>
  <bookViews>
    <workbookView xWindow="-120" yWindow="-120" windowWidth="29040" windowHeight="15840" activeTab="2" xr2:uid="{00000000-000D-0000-FFFF-FFFF00000000}"/>
  </bookViews>
  <sheets>
    <sheet name="Elèves_BCPST" sheetId="1" r:id="rId1"/>
    <sheet name="Elèves_TB" sheetId="2" r:id="rId2"/>
    <sheet name="Ecoles" sheetId="3" r:id="rId3"/>
    <sheet name="Listes validation" sheetId="4" r:id="rId4"/>
    <sheet name="Stats_BCPST" sheetId="5" r:id="rId5"/>
    <sheet name="Stats_TB" sheetId="6" r:id="rId6"/>
    <sheet name="Stats" sheetId="7" r:id="rId7"/>
  </sheets>
  <calcPr calcId="191029"/>
</workbook>
</file>

<file path=xl/calcChain.xml><?xml version="1.0" encoding="utf-8"?>
<calcChain xmlns="http://schemas.openxmlformats.org/spreadsheetml/2006/main">
  <c r="B2" i="1" l="1"/>
  <c r="B3"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4" i="1"/>
  <c r="B5" i="1"/>
  <c r="B2" i="2"/>
  <c r="B3" i="2"/>
  <c r="B4" i="2"/>
  <c r="B5" i="2"/>
  <c r="B6" i="2"/>
  <c r="B7" i="2"/>
  <c r="B6" i="1"/>
  <c r="B8" i="2"/>
  <c r="B9" i="2"/>
  <c r="B7" i="1"/>
  <c r="B8" i="1"/>
  <c r="B9" i="1"/>
  <c r="B10" i="2"/>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127" i="2"/>
  <c r="B126" i="2"/>
  <c r="B125" i="2"/>
  <c r="B124" i="2"/>
  <c r="B123" i="2"/>
  <c r="B122" i="2"/>
  <c r="B121" i="2"/>
  <c r="B120" i="2"/>
  <c r="B119" i="2"/>
  <c r="B118" i="2"/>
  <c r="B117" i="2"/>
  <c r="B116" i="2"/>
  <c r="B115" i="2"/>
  <c r="B114" i="2"/>
  <c r="B113" i="2"/>
  <c r="B112" i="2"/>
  <c r="B111" i="2"/>
  <c r="B110" i="2"/>
  <c r="B109"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14" i="1"/>
  <c r="B113" i="1"/>
  <c r="B112" i="1"/>
  <c r="B111" i="1"/>
  <c r="B110" i="1"/>
  <c r="B109" i="1"/>
  <c r="B108" i="1"/>
  <c r="B107" i="1"/>
  <c r="B106" i="1"/>
  <c r="B105" i="1"/>
  <c r="B104" i="1"/>
  <c r="B103" i="1"/>
  <c r="B102" i="1"/>
  <c r="B101" i="1"/>
  <c r="B100" i="1"/>
  <c r="B99" i="1"/>
  <c r="B98" i="1"/>
</calcChain>
</file>

<file path=xl/sharedStrings.xml><?xml version="1.0" encoding="utf-8"?>
<sst xmlns="http://schemas.openxmlformats.org/spreadsheetml/2006/main" count="2941" uniqueCount="1206">
  <si>
    <t>Statistiques 2025</t>
  </si>
  <si>
    <t>BCPST</t>
  </si>
  <si>
    <t>MP</t>
  </si>
  <si>
    <t>MPI</t>
  </si>
  <si>
    <t>PC</t>
  </si>
  <si>
    <t>PSI</t>
  </si>
  <si>
    <t>PT</t>
  </si>
  <si>
    <t>TSI</t>
  </si>
  <si>
    <t>TB</t>
  </si>
  <si>
    <t>TPC</t>
  </si>
  <si>
    <t>TB - 2025</t>
  </si>
  <si>
    <t xml:space="preserve">CPGE TB AGRO </t>
  </si>
  <si>
    <t xml:space="preserve">Lorraine INP - ENSTIB </t>
  </si>
  <si>
    <t xml:space="preserve">CPGE TB VÉTO </t>
  </si>
  <si>
    <t xml:space="preserve">Concours POLYTECH TB </t>
  </si>
  <si>
    <t xml:space="preserve">Concours A TB ENS </t>
  </si>
  <si>
    <t xml:space="preserve">Groupe INSA </t>
  </si>
  <si>
    <t>Les tableaux ci-dessous mixent deux notions : - les concours pour lesquels sont exprimés les nombres d’inscrits, d’admissibles et de « classés » - les écoles pour lesquelles sont affichés les nombres de places et d’intégrés Pour une école qui recrute sur un concours dédié (par exemple CentraleSupélec, Ecole Polytechnique, …) il est donc possible d’indiquer sur une même ligne l’ensemble des informations de l’inscription à l’intégration. Ce n’est pas le cas des écoles qui recrutent sur un concours commun tel que le concours Mines Ponts ou le concours CCINP.</t>
  </si>
  <si>
    <t>Pour les ENS , les chiffres des inscrits et des admissibles portent sur l'ensemble des candidats alors que les chiffres des classés et des entrants portent sur les seuls fonctionnarisables</t>
  </si>
  <si>
    <t>CPGE TB AGRO</t>
  </si>
  <si>
    <t>Ecole - Concours</t>
  </si>
  <si>
    <t>Inscrits</t>
  </si>
  <si>
    <t>Admissibles</t>
  </si>
  <si>
    <t>Classés</t>
  </si>
  <si>
    <t>Intégrés</t>
  </si>
  <si>
    <t>Nb intégrés interfilières</t>
  </si>
  <si>
    <t>Places</t>
  </si>
  <si>
    <t>Nb</t>
  </si>
  <si>
    <t>Filles</t>
  </si>
  <si>
    <t>Rg médian</t>
  </si>
  <si>
    <t>Rg moyen</t>
  </si>
  <si>
    <t>L’Institut Agro Rennes-Angers - Cursus ingénieur spécialité agronomie – Rennes</t>
  </si>
  <si>
    <t>L’Institut Agro Montpellier - Cursus ingénieur, spécialité agronomie et agroalimentaire (SAADS)</t>
  </si>
  <si>
    <t>L’Institut Agro Rennes-Angers - Cursus ingénieur spécialité horticulture et paysage – Angers</t>
  </si>
  <si>
    <t>AgroParisTech - Palaiseau</t>
  </si>
  <si>
    <t>Institut Agro-Dijon - Cursus ingénieur, spécialité agroalimentaire (cursus en alimentation durable)</t>
  </si>
  <si>
    <t>Institut Agro-Dijon - Cursus ingénieur, spécialité agronomie (civil)</t>
  </si>
  <si>
    <t>Bordeaux Sciences Agro</t>
  </si>
  <si>
    <t>École nationale du génie de l'eau et de l'environnement de Strasbourg (ENGEES) - Etudiant</t>
  </si>
  <si>
    <t>ENSAIA - Nancy</t>
  </si>
  <si>
    <t>INP AGROTOULOUSE</t>
  </si>
  <si>
    <t>L’Institut Agro Montpellier - Cursus ingénieur, spécialité agronomie</t>
  </si>
  <si>
    <t>ONIRIS VetAgrobio Nantes - Cursus alimentation</t>
  </si>
  <si>
    <t>VetAgro Sup Clermont-Ferrand - Cursus ingénieur</t>
  </si>
  <si>
    <t>Institut Agro-Dijon - Cursus ingénieur, spécialité agronomie (fonctionnaire)</t>
  </si>
  <si>
    <t>Concours TB AGRO</t>
  </si>
  <si>
    <t>Lorraine INP - ENSTIB</t>
  </si>
  <si>
    <t>CPGE TB VÉTO</t>
  </si>
  <si>
    <t>École nationale vétérinaire d’Alfort</t>
  </si>
  <si>
    <t>École nationale vétérinaire de Toulouse</t>
  </si>
  <si>
    <t>ONIRIS VetAgroBio Nantes (cursus vétérinaire)</t>
  </si>
  <si>
    <t>VetAgro Sup Lyon (cursus vétérinaire)</t>
  </si>
  <si>
    <t>Concours TB ENV</t>
  </si>
  <si>
    <t>Concours POLYTECH TB</t>
  </si>
  <si>
    <t>ENSTBB Bordeaux - Biotechnologie</t>
  </si>
  <si>
    <t>EPISEN - Génie Biomédical et santé (ISBS)</t>
  </si>
  <si>
    <t>ESBS Strasbourg</t>
  </si>
  <si>
    <t>ESIAB - Microbiologie et Qualité / Production, Innovation , Biotechnologies en agro-alimentaire</t>
  </si>
  <si>
    <t>ESIX Caen Agroalimentaire</t>
  </si>
  <si>
    <t>ISIFC Besançon - Génie Biomédical</t>
  </si>
  <si>
    <t>Polytech Angers - Génie Biologique et Santé</t>
  </si>
  <si>
    <t>Polytech Clermont - Génie Biologique</t>
  </si>
  <si>
    <t>Polytech Grenoble - Gestion des risques QHSE</t>
  </si>
  <si>
    <t>Polytech Grenoble - Technologies de l'information pour la santé</t>
  </si>
  <si>
    <t>Polytech Lille - Génie biologique et alimentaire</t>
  </si>
  <si>
    <t>Polytech Nantes - Génie des Procédés et Bioprocédés</t>
  </si>
  <si>
    <t>Polytech Nice-Sophia - Génie biologique</t>
  </si>
  <si>
    <t>Concours A TB ENS</t>
  </si>
  <si>
    <t>ENS Paris-Saclay</t>
  </si>
  <si>
    <t>Groupe INSA</t>
  </si>
  <si>
    <t>ESITech Rouen - Technologies du Vivant</t>
  </si>
  <si>
    <t>INSA Lyon Biotechnologies et Bioinformatique</t>
  </si>
  <si>
    <t>INSA Toulouse Génie Biologique</t>
  </si>
  <si>
    <t>Concours INSA Domaine Biotechnologies-santé TB</t>
  </si>
  <si>
    <t>Nom</t>
  </si>
  <si>
    <t>Initiale NOM</t>
  </si>
  <si>
    <t>Prénom</t>
  </si>
  <si>
    <t>Année</t>
  </si>
  <si>
    <t>Classe</t>
  </si>
  <si>
    <t>École intégrée</t>
  </si>
  <si>
    <t>Fonctionnaire</t>
  </si>
  <si>
    <t>Lien_Video</t>
  </si>
  <si>
    <t>Lien_Fiche_Poste</t>
  </si>
  <si>
    <t>AMOUR</t>
  </si>
  <si>
    <t>Elise</t>
  </si>
  <si>
    <t>Polytech Tours</t>
  </si>
  <si>
    <t>AUCHERE</t>
  </si>
  <si>
    <t>Auriane</t>
  </si>
  <si>
    <t>Géodata Paris</t>
  </si>
  <si>
    <t>BOUFDI</t>
  </si>
  <si>
    <t>Zakaria</t>
  </si>
  <si>
    <t>ISIFC</t>
  </si>
  <si>
    <t>COLLIN</t>
  </si>
  <si>
    <t>Aurélie</t>
  </si>
  <si>
    <t>Faculté d'Orléans</t>
  </si>
  <si>
    <t>DELAITRE</t>
  </si>
  <si>
    <t>Emma</t>
  </si>
  <si>
    <t>DROUAUD</t>
  </si>
  <si>
    <t>Léo</t>
  </si>
  <si>
    <t>Institut Agro Montpellier</t>
  </si>
  <si>
    <t>FERNANDEZ-CHAPUT</t>
  </si>
  <si>
    <t>Nathan</t>
  </si>
  <si>
    <t>FEVRE</t>
  </si>
  <si>
    <t>Logann</t>
  </si>
  <si>
    <t>Institut Agro Dijon</t>
  </si>
  <si>
    <t>GAUTIER</t>
  </si>
  <si>
    <t>Amanda</t>
  </si>
  <si>
    <t>ESITECH</t>
  </si>
  <si>
    <t>HARIVEL</t>
  </si>
  <si>
    <t>Angel</t>
  </si>
  <si>
    <t>JOSEPH-EDOUARD</t>
  </si>
  <si>
    <t>Ana</t>
  </si>
  <si>
    <t>VetAgro Sup (campus Agro Clermont-Ferrand)</t>
  </si>
  <si>
    <t>LELEU--RIOU</t>
  </si>
  <si>
    <t>Ines</t>
  </si>
  <si>
    <t>ONIRIS Nantes</t>
  </si>
  <si>
    <t>https://youtu.be/kYzrs1HNg9k</t>
  </si>
  <si>
    <t>LESSIRE</t>
  </si>
  <si>
    <t>Ugo</t>
  </si>
  <si>
    <t>INSA Lyon</t>
  </si>
  <si>
    <t>LOAËC</t>
  </si>
  <si>
    <t>Mélina</t>
  </si>
  <si>
    <t>ENSAIA</t>
  </si>
  <si>
    <t>MORANDO</t>
  </si>
  <si>
    <t>M</t>
  </si>
  <si>
    <t>Gabriel</t>
  </si>
  <si>
    <t>AgroParisTech</t>
  </si>
  <si>
    <t>PINQUIER</t>
  </si>
  <si>
    <t>Camille</t>
  </si>
  <si>
    <t>Faculté du Mans</t>
  </si>
  <si>
    <t>SANCHEZ-RICHARD</t>
  </si>
  <si>
    <t>Aubin</t>
  </si>
  <si>
    <t>VIOLAIN JOUVENE</t>
  </si>
  <si>
    <t>Jade</t>
  </si>
  <si>
    <t>WIETRICH</t>
  </si>
  <si>
    <t>Vanessa</t>
  </si>
  <si>
    <t>Enstib</t>
  </si>
  <si>
    <t>BARBEAU</t>
  </si>
  <si>
    <t>Laura</t>
  </si>
  <si>
    <t>Institut Agro Rennes-Angers</t>
  </si>
  <si>
    <t>BOURGEOIS</t>
  </si>
  <si>
    <t>Emilie</t>
  </si>
  <si>
    <t>VetAgro Sup (campus Véto Lyon)</t>
  </si>
  <si>
    <t>CARTERON</t>
  </si>
  <si>
    <t>Mélissa</t>
  </si>
  <si>
    <t>Polytech Clermont</t>
  </si>
  <si>
    <t>DEVAUX</t>
  </si>
  <si>
    <t>Alexy</t>
  </si>
  <si>
    <t>DI PIPPO</t>
  </si>
  <si>
    <t>Anaïs</t>
  </si>
  <si>
    <t>FOUSSEREAU</t>
  </si>
  <si>
    <t>HENRIET</t>
  </si>
  <si>
    <t>Mélanie</t>
  </si>
  <si>
    <t>HERING</t>
  </si>
  <si>
    <t>Ingrid</t>
  </si>
  <si>
    <t>Mariana</t>
  </si>
  <si>
    <t>JOLY</t>
  </si>
  <si>
    <t>Arthur</t>
  </si>
  <si>
    <t>LE PANS</t>
  </si>
  <si>
    <t>Blandine</t>
  </si>
  <si>
    <t>NICOLLEAU</t>
  </si>
  <si>
    <t>Léna</t>
  </si>
  <si>
    <t>https://youtu.be/VHcNJpiErws</t>
  </si>
  <si>
    <t>NONET</t>
  </si>
  <si>
    <t>Margot</t>
  </si>
  <si>
    <t>Adrien</t>
  </si>
  <si>
    <t>PETIT</t>
  </si>
  <si>
    <t>PREGERMAIN</t>
  </si>
  <si>
    <t>Laly</t>
  </si>
  <si>
    <t>ESIR</t>
  </si>
  <si>
    <t>RENOUX</t>
  </si>
  <si>
    <t>SAILLAIRD</t>
  </si>
  <si>
    <t>Laurine</t>
  </si>
  <si>
    <t>SILVERT</t>
  </si>
  <si>
    <t>Agathe</t>
  </si>
  <si>
    <t>TRICHARD</t>
  </si>
  <si>
    <t>Téva</t>
  </si>
  <si>
    <t>BATTAIT</t>
  </si>
  <si>
    <t>Alexandre</t>
  </si>
  <si>
    <t>BOUILLY</t>
  </si>
  <si>
    <t>COURALET</t>
  </si>
  <si>
    <t>Amaia</t>
  </si>
  <si>
    <t>fonctionnaire</t>
  </si>
  <si>
    <t>Raphael</t>
  </si>
  <si>
    <t>Pierre</t>
  </si>
  <si>
    <t>Pauline</t>
  </si>
  <si>
    <t>HENRI</t>
  </si>
  <si>
    <t>Severine</t>
  </si>
  <si>
    <t>Institut Agro Rennes-Angers, campus d'Angers</t>
  </si>
  <si>
    <t>JACOB</t>
  </si>
  <si>
    <t>KASPEREK</t>
  </si>
  <si>
    <t>Manon</t>
  </si>
  <si>
    <t>LESIEUR</t>
  </si>
  <si>
    <t>Céline</t>
  </si>
  <si>
    <t>Polytech Angers</t>
  </si>
  <si>
    <t>MALARD</t>
  </si>
  <si>
    <t>Gabrielle</t>
  </si>
  <si>
    <t>Polytech Nantes</t>
  </si>
  <si>
    <t>MANSART</t>
  </si>
  <si>
    <t>Amandine</t>
  </si>
  <si>
    <t>MATIVET</t>
  </si>
  <si>
    <t>Ilona</t>
  </si>
  <si>
    <t>PHILIPPE</t>
  </si>
  <si>
    <t>Coline</t>
  </si>
  <si>
    <t>THEBAULT</t>
  </si>
  <si>
    <t>Morgane</t>
  </si>
  <si>
    <t>TREMBLAIS</t>
  </si>
  <si>
    <t>Clara</t>
  </si>
  <si>
    <t>VERMET</t>
  </si>
  <si>
    <t>Marie</t>
  </si>
  <si>
    <t>AMARY</t>
  </si>
  <si>
    <t>Justine</t>
  </si>
  <si>
    <t>ENSAT</t>
  </si>
  <si>
    <t>AUCLER</t>
  </si>
  <si>
    <t>Montaine</t>
  </si>
  <si>
    <t>BABO</t>
  </si>
  <si>
    <t>Martine</t>
  </si>
  <si>
    <t>COMBE</t>
  </si>
  <si>
    <t>Nicolas</t>
  </si>
  <si>
    <t>DOS SANTOS</t>
  </si>
  <si>
    <t>Lola</t>
  </si>
  <si>
    <t>DUTILLEUL</t>
  </si>
  <si>
    <t>Joana</t>
  </si>
  <si>
    <t>GARDES</t>
  </si>
  <si>
    <t>Roman</t>
  </si>
  <si>
    <t>GODOT</t>
  </si>
  <si>
    <t>MATHELIN</t>
  </si>
  <si>
    <t>Mattéo</t>
  </si>
  <si>
    <t>RICHER</t>
  </si>
  <si>
    <t>Salomé</t>
  </si>
  <si>
    <t>ROUSTAN</t>
  </si>
  <si>
    <t>Louis</t>
  </si>
  <si>
    <t>ENGEES</t>
  </si>
  <si>
    <t>VUILE</t>
  </si>
  <si>
    <t>Léa</t>
  </si>
  <si>
    <t>AYMON</t>
  </si>
  <si>
    <t>Julien</t>
  </si>
  <si>
    <t>BEAUMONT</t>
  </si>
  <si>
    <t>Caroline</t>
  </si>
  <si>
    <t>BLANCO</t>
  </si>
  <si>
    <t>Orane</t>
  </si>
  <si>
    <t>Bordeaux sciences agro</t>
  </si>
  <si>
    <t>CHAMPIN</t>
  </si>
  <si>
    <t>Clarisse</t>
  </si>
  <si>
    <t>CHAMPOLIVIER</t>
  </si>
  <si>
    <t>CLEMENT</t>
  </si>
  <si>
    <t>Louna</t>
  </si>
  <si>
    <t>COURCOUX</t>
  </si>
  <si>
    <t>Eve</t>
  </si>
  <si>
    <t>ESCOMS</t>
  </si>
  <si>
    <t>Sarah</t>
  </si>
  <si>
    <t>GIMENEZ</t>
  </si>
  <si>
    <t>Grégoire</t>
  </si>
  <si>
    <t>ENSG Géologie Nancy</t>
  </si>
  <si>
    <t>JARREAU</t>
  </si>
  <si>
    <t>Lucie</t>
  </si>
  <si>
    <t>LEMOINE</t>
  </si>
  <si>
    <t>Yanis</t>
  </si>
  <si>
    <t>ONIRIS Nantes Véto</t>
  </si>
  <si>
    <t>MARCHAL</t>
  </si>
  <si>
    <t>Lily</t>
  </si>
  <si>
    <t>MURAT</t>
  </si>
  <si>
    <t>Quentin</t>
  </si>
  <si>
    <t>NINCLAUS</t>
  </si>
  <si>
    <t>Tristan</t>
  </si>
  <si>
    <t>PENOCHET</t>
  </si>
  <si>
    <t>Laure</t>
  </si>
  <si>
    <t>Polytech Lille</t>
  </si>
  <si>
    <t>REDONNET</t>
  </si>
  <si>
    <t>Antoine</t>
  </si>
  <si>
    <t>ROBILLARD</t>
  </si>
  <si>
    <t>BOUTY</t>
  </si>
  <si>
    <t>Aurore</t>
  </si>
  <si>
    <t>AGOGUE</t>
  </si>
  <si>
    <t>Arnaud</t>
  </si>
  <si>
    <t>NOM</t>
  </si>
  <si>
    <t>GUÉRINI</t>
  </si>
  <si>
    <t>Alice</t>
  </si>
  <si>
    <t>RAFFAULT</t>
  </si>
  <si>
    <t>Éva</t>
  </si>
  <si>
    <t>BOMPART</t>
  </si>
  <si>
    <t>CHOMPRET</t>
  </si>
  <si>
    <t>Louise-Karol</t>
  </si>
  <si>
    <t>Institut Agro Rennes-Angers, campus Rennes</t>
  </si>
  <si>
    <t>DETROYAT</t>
  </si>
  <si>
    <t>mickael</t>
  </si>
  <si>
    <t>FOUQUET</t>
  </si>
  <si>
    <t>Zoé</t>
  </si>
  <si>
    <t>SPAGNOL</t>
  </si>
  <si>
    <t>Flavio</t>
  </si>
  <si>
    <t>URBINI</t>
  </si>
  <si>
    <t>Ulysse</t>
  </si>
  <si>
    <t>WALCZAK</t>
  </si>
  <si>
    <t>Loic</t>
  </si>
  <si>
    <t>TURPIN</t>
  </si>
  <si>
    <t>Doriane</t>
  </si>
  <si>
    <t>Lysandre</t>
  </si>
  <si>
    <t>SEMHOUN</t>
  </si>
  <si>
    <t>Bastien</t>
  </si>
  <si>
    <t xml:space="preserve">BHATTI </t>
  </si>
  <si>
    <t>Bilal</t>
  </si>
  <si>
    <t xml:space="preserve">EL-TAIB </t>
  </si>
  <si>
    <t>Chaïma</t>
  </si>
  <si>
    <t>GUEDON</t>
  </si>
  <si>
    <t>Eline</t>
  </si>
  <si>
    <t>HEREMBERT</t>
  </si>
  <si>
    <t>Elsa</t>
  </si>
  <si>
    <t>PRUGNEAU</t>
  </si>
  <si>
    <t>Thomas</t>
  </si>
  <si>
    <t>RAULT</t>
  </si>
  <si>
    <t>Kévin</t>
  </si>
  <si>
    <t>LEBON</t>
  </si>
  <si>
    <t>Olivia</t>
  </si>
  <si>
    <t xml:space="preserve">MOKRANI </t>
  </si>
  <si>
    <t>Alan</t>
  </si>
  <si>
    <t xml:space="preserve">ROLLAND </t>
  </si>
  <si>
    <t>FAGNIOT</t>
  </si>
  <si>
    <t xml:space="preserve"> Nicolas</t>
  </si>
  <si>
    <t xml:space="preserve">GEBER </t>
  </si>
  <si>
    <t>Léonie</t>
  </si>
  <si>
    <t xml:space="preserve">JEANROY </t>
  </si>
  <si>
    <t xml:space="preserve">LOPES </t>
  </si>
  <si>
    <t>Polytech Nice</t>
  </si>
  <si>
    <t xml:space="preserve">PRESA </t>
  </si>
  <si>
    <t>EPISEN</t>
  </si>
  <si>
    <t>SAUTET</t>
  </si>
  <si>
    <t>Aristide</t>
  </si>
  <si>
    <t>VALETTE</t>
  </si>
  <si>
    <t>Firmin</t>
  </si>
  <si>
    <t>BERTHAULT</t>
  </si>
  <si>
    <t>Alison</t>
  </si>
  <si>
    <t>DROIN</t>
  </si>
  <si>
    <t>BARBIER</t>
  </si>
  <si>
    <t xml:space="preserve"> Louis</t>
  </si>
  <si>
    <t>INSA Toulouse</t>
  </si>
  <si>
    <t>CAILLETTE</t>
  </si>
  <si>
    <t>Anna</t>
  </si>
  <si>
    <t>CRÉTÉ</t>
  </si>
  <si>
    <t>Sandra</t>
  </si>
  <si>
    <t>FRERE</t>
  </si>
  <si>
    <t>ESIAB</t>
  </si>
  <si>
    <t>GOUIN</t>
  </si>
  <si>
    <t>Matthis</t>
  </si>
  <si>
    <t>JACQUET</t>
  </si>
  <si>
    <t>Benjamin</t>
  </si>
  <si>
    <t>École Nationale Vétérinaire d'Alfort (ENVA)</t>
  </si>
  <si>
    <t>LAURENT</t>
  </si>
  <si>
    <t>Thibault</t>
  </si>
  <si>
    <t>RENAULT</t>
  </si>
  <si>
    <t>Jean</t>
  </si>
  <si>
    <t>VANTOMME</t>
  </si>
  <si>
    <t>WITKOWSKI</t>
  </si>
  <si>
    <t>Sébastien</t>
  </si>
  <si>
    <t>ENS Paris Saclay</t>
  </si>
  <si>
    <t>BARDIN</t>
  </si>
  <si>
    <t>Alycia</t>
  </si>
  <si>
    <t>MORATA</t>
  </si>
  <si>
    <t>PLANTARD</t>
  </si>
  <si>
    <t>Yves</t>
  </si>
  <si>
    <t>BOUTET</t>
  </si>
  <si>
    <t>ESTEVE</t>
  </si>
  <si>
    <t>Maylis</t>
  </si>
  <si>
    <t>REMOND</t>
  </si>
  <si>
    <t>https://youtube.com/shorts/-Ft-YouRkKg</t>
  </si>
  <si>
    <t>https://eekez.github.io/chesnoy-orientation/fiches/ficheAntoineR.pdf</t>
  </si>
  <si>
    <t>REVEILLARD</t>
  </si>
  <si>
    <t>Luka</t>
  </si>
  <si>
    <t>AUDOUARD</t>
  </si>
  <si>
    <t>BOURDOUNE</t>
  </si>
  <si>
    <t>Lauryne</t>
  </si>
  <si>
    <t>École Nationale Vétérinaire de Toulouse (ENVT)</t>
  </si>
  <si>
    <t>KENFAR</t>
  </si>
  <si>
    <t>Salma</t>
  </si>
  <si>
    <t>LEBEAU</t>
  </si>
  <si>
    <t>Simon</t>
  </si>
  <si>
    <t>LEBLOND</t>
  </si>
  <si>
    <t>Benoît</t>
  </si>
  <si>
    <t>POUPA</t>
  </si>
  <si>
    <t>PETEL</t>
  </si>
  <si>
    <t>Elodie</t>
  </si>
  <si>
    <t>AUROUX</t>
  </si>
  <si>
    <t>Ophélie</t>
  </si>
  <si>
    <t>CHASSIN</t>
  </si>
  <si>
    <t xml:space="preserve">MORRETTON </t>
  </si>
  <si>
    <t>Laureen</t>
  </si>
  <si>
    <t xml:space="preserve">AZZOUN </t>
  </si>
  <si>
    <t>Corentin</t>
  </si>
  <si>
    <t>DOUSSAN</t>
  </si>
  <si>
    <t>Célia</t>
  </si>
  <si>
    <t xml:space="preserve">MAUGER-BIROCHEAU </t>
  </si>
  <si>
    <t>Tom</t>
  </si>
  <si>
    <t>PRESTREAU</t>
  </si>
  <si>
    <t>Charlotte</t>
  </si>
  <si>
    <t>VIANEY</t>
  </si>
  <si>
    <t>CANEVET</t>
  </si>
  <si>
    <t>Morgan</t>
  </si>
  <si>
    <t>COLVE</t>
  </si>
  <si>
    <t xml:space="preserve">LEWANDOWSKI </t>
  </si>
  <si>
    <t xml:space="preserve">Maud </t>
  </si>
  <si>
    <t>ROGERON</t>
  </si>
  <si>
    <t xml:space="preserve">ROUQUIE </t>
  </si>
  <si>
    <t xml:space="preserve">Julien </t>
  </si>
  <si>
    <t>VIARD</t>
  </si>
  <si>
    <t>Herthault</t>
  </si>
  <si>
    <t>Emeline</t>
  </si>
  <si>
    <t>MARCHEVAL</t>
  </si>
  <si>
    <t>Lisa</t>
  </si>
  <si>
    <t>ESBS</t>
  </si>
  <si>
    <t>RENARD</t>
  </si>
  <si>
    <t>THAUVIN</t>
  </si>
  <si>
    <t>VOLENA</t>
  </si>
  <si>
    <t>Lucas</t>
  </si>
  <si>
    <t>BADIER</t>
  </si>
  <si>
    <t>Kelig</t>
  </si>
  <si>
    <t>BREANT</t>
  </si>
  <si>
    <t>DUBOC</t>
  </si>
  <si>
    <t xml:space="preserve"> Daphné</t>
  </si>
  <si>
    <t>GUY</t>
  </si>
  <si>
    <t>PLET</t>
  </si>
  <si>
    <t>Audrey</t>
  </si>
  <si>
    <t>BORGNE</t>
  </si>
  <si>
    <t>Alexia</t>
  </si>
  <si>
    <t>DUMEZ</t>
  </si>
  <si>
    <t>Lucy</t>
  </si>
  <si>
    <t>FOUCAULT</t>
  </si>
  <si>
    <t>FOUGERE</t>
  </si>
  <si>
    <t>Louise</t>
  </si>
  <si>
    <t>HEISSLER</t>
  </si>
  <si>
    <t>Claire</t>
  </si>
  <si>
    <t>Polytech Grenoble</t>
  </si>
  <si>
    <t>LECLOUX</t>
  </si>
  <si>
    <t>Marion</t>
  </si>
  <si>
    <t>VIRAPIN</t>
  </si>
  <si>
    <t>GIBERT</t>
  </si>
  <si>
    <t>Joséphine</t>
  </si>
  <si>
    <t>BARDON</t>
  </si>
  <si>
    <t>CROIBIER-MUSCAT</t>
  </si>
  <si>
    <t>FOCH</t>
  </si>
  <si>
    <t>PAYEN</t>
  </si>
  <si>
    <t>Romain</t>
  </si>
  <si>
    <t>RIVET</t>
  </si>
  <si>
    <t xml:space="preserve">PAVARD </t>
  </si>
  <si>
    <t>Gaëtan</t>
  </si>
  <si>
    <t xml:space="preserve">MARET </t>
  </si>
  <si>
    <t>Sophie</t>
  </si>
  <si>
    <t>Faculté de Toulouse</t>
  </si>
  <si>
    <t>MERISSI</t>
  </si>
  <si>
    <t>Florian</t>
  </si>
  <si>
    <t>Faculté de Rennes</t>
  </si>
  <si>
    <t>ORTUSO</t>
  </si>
  <si>
    <t>Faculté de Rouen</t>
  </si>
  <si>
    <t>WYSOCKI</t>
  </si>
  <si>
    <t>Faculté d'Evry</t>
  </si>
  <si>
    <t>DETOURNAY</t>
  </si>
  <si>
    <t>Matthieu</t>
  </si>
  <si>
    <t>Faculté d'Orsay</t>
  </si>
  <si>
    <t>DUCARNE</t>
  </si>
  <si>
    <t>FIGUIER</t>
  </si>
  <si>
    <t>Valentin</t>
  </si>
  <si>
    <t>Polytech Marseille</t>
  </si>
  <si>
    <t>GODEST</t>
  </si>
  <si>
    <t>Vincent</t>
  </si>
  <si>
    <t>MARTINS</t>
  </si>
  <si>
    <t>Mégane</t>
  </si>
  <si>
    <t>MONNIER</t>
  </si>
  <si>
    <t>POIRRIER</t>
  </si>
  <si>
    <t>Fanny</t>
  </si>
  <si>
    <t>BALOUX</t>
  </si>
  <si>
    <t>Louison</t>
  </si>
  <si>
    <t>CHARBONNEAU</t>
  </si>
  <si>
    <t>Mathilde</t>
  </si>
  <si>
    <t>MICHOUX</t>
  </si>
  <si>
    <t>Andréa</t>
  </si>
  <si>
    <t>SARCOU</t>
  </si>
  <si>
    <t>Cyril</t>
  </si>
  <si>
    <t xml:space="preserve">VANDENBAVIERE </t>
  </si>
  <si>
    <t>PICQ</t>
  </si>
  <si>
    <t>ENS Lyon</t>
  </si>
  <si>
    <t>POMARES</t>
  </si>
  <si>
    <t>Lorelei</t>
  </si>
  <si>
    <t>ZIMMERMANN</t>
  </si>
  <si>
    <t>Rudi</t>
  </si>
  <si>
    <t>BLANCHARD</t>
  </si>
  <si>
    <t>BORIE</t>
  </si>
  <si>
    <t>D'ANDRIA</t>
  </si>
  <si>
    <t>MODE</t>
  </si>
  <si>
    <t>Type_BCPST</t>
  </si>
  <si>
    <t>Type_TB</t>
  </si>
  <si>
    <t>Banque_BCPST</t>
  </si>
  <si>
    <t>Banque_TB</t>
  </si>
  <si>
    <t>Accès</t>
  </si>
  <si>
    <t>Descriptif</t>
  </si>
  <si>
    <t>Ville</t>
  </si>
  <si>
    <t>Lien</t>
  </si>
  <si>
    <t>coords</t>
  </si>
  <si>
    <t>image</t>
  </si>
  <si>
    <t>Agro</t>
  </si>
  <si>
    <t>Agro-Véto</t>
  </si>
  <si>
    <t>TB + BCPST</t>
  </si>
  <si>
    <t>Grande école d’ingénieurs en agronomie, agroalimentaire, environnement et sciences du vivant.</t>
  </si>
  <si>
    <t>Paris</t>
  </si>
  <si>
    <t>https://www.agroparistech.fr</t>
  </si>
  <si>
    <t>[48.71401, 2.1964]</t>
  </si>
  <si>
    <t>https://external-content.duckduckgo.com/iu/?u=https%3A%2F%2Ftse1.mm.bing.net%2Fth%2Fid%2FOIP.Hw6WJPLDhPwHEuU0j8ErUAHaFj%3Fcb%3Ducfimgc2%26pid%3DApi&amp;f=1&amp;ipt=fb8a819bec820136b120f5380545202b9e5d35b8c4aabc18be6a8f94bc7db020&amp;ipo=images</t>
  </si>
  <si>
    <t>École vétérinaire et agroalimentaire de Nantes formant vétérinaires et ingénieurs.</t>
  </si>
  <si>
    <t>Nantes</t>
  </si>
  <si>
    <t>https://www.oniris-nantes.fr</t>
  </si>
  <si>
    <t>[47.25160, -1.55270]</t>
  </si>
  <si>
    <t>https://external-content.duckduckgo.com/iu/?u=https%3A%2F%2Ftse1.mm.bing.net%2Fth%2Fid%2FOIP.7iKVNkyuqz9XXqFY_k0icAHaE9%3Fcb%3Ducfimgc2%26pid%3DApi&amp;f=1&amp;ipt=7677d923c88d6af0d6f570d61defb3848891196e433af8ff630288cf5a77c7e3&amp;ipo=images</t>
  </si>
  <si>
    <t>École spécialisée en sciences agronomiques et agroalimentaires.</t>
  </si>
  <si>
    <t>Bordeaux</t>
  </si>
  <si>
    <t>https://www.agro-bordeaux.fr</t>
  </si>
  <si>
    <t>[44.77470, -0.60740]</t>
  </si>
  <si>
    <t>https://external-content.duckduckgo.com/iu/?u=https%3A%2F%2Ftse1.mm.bing.net%2Fth%2Fid%2FOIP.xYe4yBtGhVh08OGHlaGfmgHaEx%3Fcb%3Ducfimg2%26pid%3DApi%26ucfimg%3D1&amp;f=1&amp;ipt=8129abcaa9a8d9abfbf023b6b02b28d790b0efb11e35b1e7250dd0805698e681&amp;ipo=images</t>
  </si>
  <si>
    <t>Nancy</t>
  </si>
  <si>
    <t>[48.66190, 6.15570]</t>
  </si>
  <si>
    <t>https://external-content.duckduckgo.com/iu/?u=https%3A%2F%2Ftse3.mm.bing.net%2Fth%2Fid%2FOIP.RUy9dPHDqmlaA0tTt40z3AHaEK%3Fcb%3Ducfimgc2%26pid%3DApi&amp;f=1&amp;ipt=44ad9df2f0ec58c894d8b14ae9328bd6db488b0c39c378cb41eeae2629a3b410&amp;ipo=images</t>
  </si>
  <si>
    <t>Dijon</t>
  </si>
  <si>
    <t>https://institut-agro-dijon.fr</t>
  </si>
  <si>
    <t>[47.31240, 5.06840]</t>
  </si>
  <si>
    <t>https://external-content.duckduckgo.com/iu/?u=https%3A%2F%2Ftse4.mm.bing.net%2Fth%2Fid%2FOIP.0Rj0n74xIq_S8AZgSRNWogHaE8%3Fcb%3Ducfimg2%26pid%3DApi%26ucfimg%3D1&amp;f=1&amp;ipt=7653e0b429a2deb39eb132b129a92c08f97daf00277fee43648ab92a3f89b41f&amp;ipo=images</t>
  </si>
  <si>
    <t>École d’ingénieurs et centre de formation en agriculture et agroalimentaire.</t>
  </si>
  <si>
    <t>Rennes</t>
  </si>
  <si>
    <t>https://institut-agro-rennes-angers.fr</t>
  </si>
  <si>
    <t>[48.11740, -1.70080]</t>
  </si>
  <si>
    <t>https://external-content.duckduckgo.com/iu/?u=https%3A%2F%2Ftse3.mm.bing.net%2Fth%2Fid%2FOIP.bp5b40fFhZ9o_m1nxfZ0ZQHaDt%3Fcb%3Ducfimg2%26pid%3DApi%26ucfimg%3D1&amp;f=1&amp;ipt=1b15b2a219abacf9092787bd7800a68460b820cdbf71f79372cb2b06edced77a&amp;ipo=images</t>
  </si>
  <si>
    <t>Clermont-Ferrand</t>
  </si>
  <si>
    <t>https://www.vetagro-sup.fr</t>
  </si>
  <si>
    <t>[45.78030, 3.20150]</t>
  </si>
  <si>
    <t>https://external-content.duckduckgo.com/iu/?u=https%3A%2F%2Fwww.planetegrandesecoles.com%2Fwp-content%2Fuploads%2F2021%2F05%2FIMG_2355-scaled.jpg&amp;f=1&amp;nofb=1&amp;ipt=ec76e5a504e817b0a6114bc9168cb7abf1314815b18a0e0b2cc0727b05eb2246</t>
  </si>
  <si>
    <t>ENSTIB</t>
  </si>
  <si>
    <t>Épinal</t>
  </si>
  <si>
    <t>https://www.enstib.univ-lorraine.fr</t>
  </si>
  <si>
    <t>[48.17740, 6.43880]</t>
  </si>
  <si>
    <t>https://external-content.duckduckgo.com/iu/?u=https%3A%2F%2Fprofix.wurth.fr%2Fmedia%2Fpictures%2Fwuerth_profix%2Fnews%2FWTD_ENSTIB_slider_res_wl2_frontpage_1200.png&amp;f=1&amp;nofb=1&amp;ipt=9a15a53ac80506bb3d6f9681814c75842c67d4998e2ff7bc4b93d0a476c30cf9</t>
  </si>
  <si>
    <t>Grande école d’ingénieurs en agronomie, environnement, alimentation et territoires durables.</t>
  </si>
  <si>
    <t>Montpellier</t>
  </si>
  <si>
    <t>https://www.institut-agro-montpellier.fr</t>
  </si>
  <si>
    <t>[43.63540, 3.86430]</t>
  </si>
  <si>
    <t>https://external-content.duckduckgo.com/iu/?u=https%3A%2F%2Ftse4.mm.bing.net%2Fth%2Fid%2FOIP.7RZe3bxWw7KkVxvNg6I_tgHaD4%3Fpid%3DApi&amp;f=1&amp;ipt=d1c275e49b27efb6fa7d2633be26f0e7e8923bf3d25ce9ec035e2b5a2339c062&amp;ipo=images</t>
  </si>
  <si>
    <t>Véto</t>
  </si>
  <si>
    <t>École vétérinaire historique de la région parisienne formant des vétérinaires et chercheurs.</t>
  </si>
  <si>
    <t>Maisons-Alfort</t>
  </si>
  <si>
    <t>https://www.vet-alfort.fr</t>
  </si>
  <si>
    <t>[48.80740, 2.43460]</t>
  </si>
  <si>
    <t>https://external-content.duckduckgo.com/iu/?u=https%3A%2F%2Fwww.leparisien.fr%2Fresizer%2FSEfGgJRqnNNRESqp9OQ-zVfMsio%3D%2F932x582%2Farc-anglerfish-eu-central-1-prod-leparisien.s3.amazonaws.com%2Fpublic%2FU4T2FYVHW2SYMZKSOCAMDT3ALM.jpg&amp;f=1&amp;nofb=1&amp;ipt=a32901a2f85f8c0c498a760afec243f0e1b4045ddaa8e35a8d90bc4bd226c1be</t>
  </si>
  <si>
    <t>Grande école vétérinaire du Sud-Ouest, formant vétérinaires et chercheurs.</t>
  </si>
  <si>
    <t>Toulouse</t>
  </si>
  <si>
    <t>https://envt.fr</t>
  </si>
  <si>
    <t>[43.6012, 1.3815]</t>
  </si>
  <si>
    <t>https://external-content.duckduckgo.com/iu/?u=https%3A%2F%2Fwww.lepointveterinaire.fr%2Fimages%2F2e3%2Febf9ba1cc760bc0e7acb3c41d5698%2Flancement-marque-envt-vue-aerienne.jpg&amp;f=1&amp;nofb=1&amp;ipt=16171f52a720c247e1defa0d1119b396716a2ad47bd1cca25aa88fc153e04568</t>
  </si>
  <si>
    <t>Campus vétérinaire de VetAgro Sup, formant vétérinaires et chercheurs.</t>
  </si>
  <si>
    <t>Lyon</t>
  </si>
  <si>
    <t>[45.79106, 4.70856]</t>
  </si>
  <si>
    <t>https://external-content.duckduckgo.com/iu/?u=https%3A%2F%2Fapform.fr%2Fwp-content%2Fuploads%2F2023%2F03%2FLYON.jpg&amp;f=1&amp;nofb=1&amp;ipt=7b345b43be9434cfe181dc9052a4b25cb6be5e4b2d76f10d853aa0fe53ebc812</t>
  </si>
  <si>
    <t>[ 47.289464, ‑1.52275]</t>
  </si>
  <si>
    <t>https://external-content.duckduckgo.com/iu/?u=https%3A%2F%2Fconnectpro.oniris-nantes.fr%2Fpluginfile.php%2F5436%2Fmod_page%2Fcontent%2F33%2Faccueil%2520oniris.JPG&amp;f=1&amp;nofb=1&amp;ipt=d28831edeca258365fc1aa524b2554995d22a23344173c39528a8f76ff224ad6</t>
  </si>
  <si>
    <t>G2E</t>
  </si>
  <si>
    <t>École nationale du génie de l’eau et de l’environnement.</t>
  </si>
  <si>
    <t>Strasbourg</t>
  </si>
  <si>
    <t>https://engees.unistra.fr</t>
  </si>
  <si>
    <t>[48.5839, 7.74553]</t>
  </si>
  <si>
    <t>https://external-content.duckduckgo.com/iu/?u=https%3A%2F%2Fengees.unistra.fr%2Ffileadmin%2F_processed_%2Fa%2F1%2Fcsm_Engees_Exterieur_21_1bfc55a174.jpg&amp;f=1&amp;nofb=1&amp;ipt=62c94274162b05301b97f5d3dd5138120a70d45dfab3c62b9d0cedc32fa0cb90</t>
  </si>
  <si>
    <t>École spécialisée en géomatique et gestion de données géographiques.</t>
  </si>
  <si>
    <t>https://www.geodata-paris.fr/sites/default/files/styles/large/public/2022-06/Géodata_Paris.jpg</t>
  </si>
  <si>
    <t>[48.84113, 2.59007]</t>
  </si>
  <si>
    <t>https://external-content.duckduckgo.com/iu/?u=https%3A%2F%2Fwww.concours-mines-telecom.fr%2Fwp-content%2Fuploads%2F2022%2F06%2FLD-PH660001JLD-856x450.jpg&amp;f=1&amp;nofb=1&amp;ipt=90d8ba49221c6ab43bb43815f8c5a78c54d6b10db9d90d2ab22fdea74a21476c</t>
  </si>
  <si>
    <t>Polytech</t>
  </si>
  <si>
    <t>École d’ingénieurs en systèmes électroniques et informatiques.</t>
  </si>
  <si>
    <t>https://www.esir.fr</t>
  </si>
  <si>
    <t>[48.11863, ‑1.63992]</t>
  </si>
  <si>
    <t>https://external-content.duckduckgo.com/iu/?u=https%3A%2F%2Fidesir.bzh%2Fwp-content%2Fuploads%2F2022%2F07%2Fecole-superieure-ingenieurs-rennes-esir-3-scaled.jpg&amp;f=1&amp;nofb=1&amp;ipt=91227bbc63819af6516ca6382229a18a60ec85dd0eb036d21e1bed66ec16621d</t>
  </si>
  <si>
    <t>École d’ingénieurs en sciences de la santé et instrumentation médicale.</t>
  </si>
  <si>
    <t>Besançon</t>
  </si>
  <si>
    <t>https://www.isifc.univ-fcomte.fr</t>
  </si>
  <si>
    <t>[47.2476, 5.9907]</t>
  </si>
  <si>
    <t>https://external-content.duckduckgo.com/iu/?u=https%3A%2F%2Fisifc.univ-fcomte.fr%2Fwp-content%2Fuploads%2F2021%2F12%2FIMG_1217-scaled.jpg&amp;f=1&amp;nofb=1&amp;ipt=37dfb4377d1dfe8ddac8cb939261a59be8de26d80e38235cb3bc244ff9b54d82</t>
  </si>
  <si>
    <t>Angers</t>
  </si>
  <si>
    <t>https://www.polytech-angers.fr</t>
  </si>
  <si>
    <t>[47.4803916, -0.59225306]</t>
  </si>
  <si>
    <t>https://external-content.duckduckgo.com/iu/?u=https%3A%2F%2Fmedia.lesechos.com%2Fapi%2Fv1%2Fimages%2Fview%2F65281245cf64d06b960dd200%2F1280x720%2F0902741976329-web-tete.jpg&amp;f=1&amp;nofb=1&amp;ipt=caacb499cf8cb913b77c575be00b2f781f1349152342f0be56bcce5a897d63c7</t>
  </si>
  <si>
    <t>École d’ingénieurs généraliste en sciences et technologies.</t>
  </si>
  <si>
    <t>https://www.polytech-clermont.fr</t>
  </si>
  <si>
    <t>[45.76111, 3.11065]</t>
  </si>
  <si>
    <t>https://external-content.duckduckgo.com/iu/?u=https%3A%2F%2Ftse4.mm.bing.net%2Fth%2Fid%2FOIP.cgAO9ZXZhx3ZW75NqWlgcQHaCe%3Fcb%3Ducfimg2%26pid%3DApi%26ucfimg%3D1&amp;f=1&amp;ipt=da2d4fd171db6ed2245429b1c685438444686716f6a9bc631f45f8ee652e7571&amp;ipo=images</t>
  </si>
  <si>
    <t>École d’ingénieurs généraliste proposant différentes spécialités techniques.</t>
  </si>
  <si>
    <t>Tours</t>
  </si>
  <si>
    <t>https://www.polytech-tours.fr</t>
  </si>
  <si>
    <t>[47.3555, 0.6910]</t>
  </si>
  <si>
    <t>https://external-content.duckduckgo.com/iu/?u=http%3A%2F%2Fwww.emmanuelle-colboc.com%2Fwp-content%2Fuploads%2Fcol-tour-pol-vue-entree-loin-hd-05-1600x914.jpg&amp;f=1&amp;nofb=1&amp;ipt=1a1e6c2e7443180d125edcf48dce781bdd7273bf8c54239bcdb434d00e225a30</t>
  </si>
  <si>
    <t>INSA</t>
  </si>
  <si>
    <t>Institut National des Sciences Appliquées de Lyon.</t>
  </si>
  <si>
    <t>https://www.insa-lyon.fr</t>
  </si>
  <si>
    <t>[45.78264, 4.878073]</t>
  </si>
  <si>
    <t>https://external-content.duckduckgo.com/iu/?u=https%3A%2F%2Ftse4.mm.bing.net%2Fth%2Fid%2FOIP.PZwwfyiYVi1YOr4d2ni5hgHaFj%3Fpid%3DApi&amp;f=1&amp;ipt=109915e46179e292ca7142d5962488f1abc0c8533ded39f2553cad10875fb76b</t>
  </si>
  <si>
    <t>INSA Rouen</t>
  </si>
  <si>
    <t>Institut National des Sciences Appliquées de Rouen Normandie.</t>
  </si>
  <si>
    <t>Rouen</t>
  </si>
  <si>
    <t>https://www.insa-rouen.fr</t>
  </si>
  <si>
    <t>[49.3847, 1.0683]</t>
  </si>
  <si>
    <t>https://external-content.duckduckgo.com/iu/?u=https%3A%2F%2Fwww.insa-rouen.fr%2Fsites%2Fdefault%2Ffiles%2Fstyles%2Fmax_1300x1300%2Fpublic%2F2024-04%2Fbatiment-rouen-magellan.jpg%3Fitok%3DIs58tZUC&amp;f=1&amp;nofb=1&amp;ipt=c722937fafcc4eaa3348b8ca016d6db253d92af319032f13946d3dd328c17d5b</t>
  </si>
  <si>
    <t>Institut National des Sciences Appliquées de Toulouse.</t>
  </si>
  <si>
    <t>https://www.insa-toulouse.fr</t>
  </si>
  <si>
    <t>[43.56896, 1.46597]</t>
  </si>
  <si>
    <t>https://external-content.duckduckgo.com/iu/?u=http%3A%2F%2Fetudinfo.com%2Fimage%2Fphoto%2Finsa-toulouse-518cacfb8de6d.jpg&amp;f=1&amp;nofb=1&amp;ipt=6e4dfec923ac85716218c48c780bc062c270dfd7e9403c73adcfe36dabe0bb6c</t>
  </si>
  <si>
    <t>INSA Strasbourg</t>
  </si>
  <si>
    <t>Institut National des Sciences Appliquées de Strasbourg.</t>
  </si>
  <si>
    <t>https://www.insa-strasbourg.fr/fr/</t>
  </si>
  <si>
    <t>[48.582316, 7.764806]</t>
  </si>
  <si>
    <t>https://external-content.duckduckgo.com/iu/?u=https%3A%2F%2Fwww.insa-strasbourg.fr%2Fwp-content%2Fuploads%2F28070823_1895678403840285_8548131256382231960_o.jpg&amp;f=1&amp;nofb=1&amp;ipt=f8a56eb93bb8014d686d52637fb32ea09a8de2214f2ea048e1ed964de3d8b46d</t>
  </si>
  <si>
    <t>Ecole affiliée au groupe INSA à Rouen.</t>
  </si>
  <si>
    <t>Esitech</t>
  </si>
  <si>
    <t>https://esitech.univ-rouen.fr/</t>
  </si>
  <si>
    <t>[49.38733, 1.06848].</t>
  </si>
  <si>
    <t>https://external-content.duckduckgo.com/iu/?u=https%3A%2F%2Ftse1.mm.bing.net%2Fth%2Fid%2FOIP.NxtShy9kjVP64Y4Fnjd5lQHaEo%3Fcb%3Ducfimg2%26pid%3DApi%26ucfimg%3D1&amp;f=1&amp;ipt=733c513e8f837036b67ebabf9b05f37b7a571aad949c58f55379c7bb05916272</t>
  </si>
  <si>
    <t>Fac</t>
  </si>
  <si>
    <t>Aucune</t>
  </si>
  <si>
    <t>Université dans la ville d'Orléans</t>
  </si>
  <si>
    <t>Orléans</t>
  </si>
  <si>
    <t>https://www.univ-orleans.fr/fr</t>
  </si>
  <si>
    <t>[47.8506, 1.9339]</t>
  </si>
  <si>
    <t>https://external-content.duckduckgo.com/iu/?u=https%3A%2F%2Ftse1.mm.bing.net%2Fth%2Fid%2FOIP.G8473KnD6SkwzRYYCYUO6wHaEO%3Fpid%3DApi&amp;f=1&amp;ipt=81d1fd15e5a6638bcb7a7cd9e41877aeb4944a74c380c95bc2d81bf87063d241&amp;ipo=images</t>
  </si>
  <si>
    <t>Université dans la ville du Mans</t>
  </si>
  <si>
    <t>Le Mans</t>
  </si>
  <si>
    <t>https://www.univ-lemans.fr/fr/index.html</t>
  </si>
  <si>
    <t>[48.0160531, 0.1498899]</t>
  </si>
  <si>
    <t>https://external-content.duckduckgo.com/iu/?u=https%3A%2F%2Fwww.aefinfo.fr%2Fassets%2Fmedias%2Fdocuments%2F5%2F1%2F519418_prv.jpeg&amp;f=1&amp;nofb=1&amp;ipt=f269e9223ce8f781f85ebd34a8f6859c00dc82ca8371fad03f5accd21b09894c</t>
  </si>
  <si>
    <t>https://polytech.univ-cotedazur.fr/</t>
  </si>
  <si>
    <t>[43.6156, 7.0714]</t>
  </si>
  <si>
    <t>https://external-content.duckduckgo.com/iu/?u=https%3A%2F%2Fwww.polytech-reseau.org%2Fwp-content%2Fuploads%2F2021%2F11%2F476554597.jpg&amp;f=1&amp;nofb=1&amp;ipt=3d403dba376a2746fcc521fa3b0af78f4271487c244104dafbf6473c3ad0e536</t>
  </si>
  <si>
    <t>Ecole publique d'ingénieurs de la santé et du numérique</t>
  </si>
  <si>
    <t>Créteil</t>
  </si>
  <si>
    <t>https://episen.u-pec.fr/</t>
  </si>
  <si>
    <t>[48.79491,2.44457]</t>
  </si>
  <si>
    <t>https://external-content.duckduckgo.com/iu/?u=https%3A%2F%2Fwww.u-pec.fr%2Fmedias%2Fphoto%2F7-episen-campus-st-simon-modification-29mars2023_1680861840219-jpg&amp;f=1&amp;nofb=1&amp;ipt=72006281de6bc5e9b29a88547f138706ca3075668e70f54b6ee7e1385210b4bd</t>
  </si>
  <si>
    <t xml:space="preserve"> École quii forme des ingénieurs dans des secteurs stratégiques où la qualité, la sécurité sanitaire et l’innovation sont des enjeux essentiels.</t>
  </si>
  <si>
    <t>Quimper</t>
  </si>
  <si>
    <t>https://www.univ-brest.fr/esiab/</t>
  </si>
  <si>
    <t>[48.0000,-4.1]</t>
  </si>
  <si>
    <t>https://external-content.duckduckgo.com/iu/?u=https%3A%2F%2Fwww.univ-brest.fr%2Fesiab%2Fsites%2Fesiab.www.univ-brest.fr%2Ffiles%2F2024-09%2Fformat_pour_passer_sur_internet-4.png&amp;f=1&amp;nofb=1&amp;ipt=8249a142353d2d477efc36ace32a8d9341fa40c0893f06d1f928373c745c28c7</t>
  </si>
  <si>
    <t>Lille</t>
  </si>
  <si>
    <t>https://www.polytech-lille.fr/</t>
  </si>
  <si>
    <t>[50.607806,3.136296 ]</t>
  </si>
  <si>
    <t>https://external-content.duckduckgo.com/iu/?u=https%3A%2F%2Fwww.polytech-lille.fr%2Fwp-content%2Fuploads%2F2025%2F03%2Fecole_facade-768x432.jpg&amp;f=1&amp;nofb=1&amp;ipt=f3bbddd90681e86fccb4902a5a0adbb0b5a65648a769406d1ce4ac2276893389</t>
  </si>
  <si>
    <t>ENS</t>
  </si>
  <si>
    <t>École normale supérieure de Paris Saclay</t>
  </si>
  <si>
    <t>https://ens-paris-saclay.fr/</t>
  </si>
  <si>
    <t>[48.713144,2.162143]</t>
  </si>
  <si>
    <t>https://external-content.duckduckgo.com/iu/?u=https%3A%2F%2Ftse2.mm.bing.net%2Fth%2Fid%2FOIP.lF5Ctq8AowvOspisjsKdPgHaE8%3Fcb%3Ducfimg2%26pid%3DApi%26ucfimg%3D1&amp;f=1&amp;ipt=78ad1e552b4c3e1c7b3b922f4696bd9e7e56e7b6160009de4cbed7141017c2e3&amp;ipo=images</t>
  </si>
  <si>
    <t>AgroToulouse est une école d'ingénieurs publique qui forme chaque année des étudiants dans les domaines de l'agronomie, de l'alimentation, de l'environnement et de l’œnologie.</t>
  </si>
  <si>
    <t>https://www.ensat.fr/fr/index.html</t>
  </si>
  <si>
    <t>[43.5336,1.4897]</t>
  </si>
  <si>
    <t>https://external-content.duckduckgo.com/iu/?u=https%3A%2F%2Fwww.wur.nl%2Fupload_mm%2Fe%2F8%2Fa%2F4a85c91e-9d49-4d31-b89b-20a686950934_273531606_4671642469549965_5956002112855300873_n.jpg&amp;f=1&amp;nofb=1&amp;ipt=a974a8cc7a44e0a42dadf3c196cf666cfc3f1f5b696bc6bdf8cb750192853a4f</t>
  </si>
  <si>
    <t xml:space="preserve">Les enseignements de cette école portent entre autres sur le génie génétique, la microbiologie, la bioinformatique, la bioproduction, la modélisation. </t>
  </si>
  <si>
    <t>https://esbs.unistra.fr/</t>
  </si>
  <si>
    <t>[48.5259,7.7387]</t>
  </si>
  <si>
    <t>https://external-content.duckduckgo.com/iu/?u=https%3A%2F%2Fesbs.unistra.fr%2Fwebsites%2F_processed_%2F8%2Fc%2Fcsm_IMG_1421_418bbc3fef.jpg&amp;f=1&amp;nofb=1&amp;ipt=f3947e491c7a02f77a667fd794a0b0ba9883d6cd46996147c416268e57253563</t>
  </si>
  <si>
    <t>Grenoble</t>
  </si>
  <si>
    <t>https://polytech.grenoble-inp.fr/</t>
  </si>
  <si>
    <t>[45.18469,5.75283]</t>
  </si>
  <si>
    <t>https://external-content.duckduckgo.com/iu/?u=https%3A%2F%2Fwww.geipi-polytech.org%2Fsites%2Fdefault%2Ffiles%2Fphotos%2Fpolytech-grenoble-presentation2021.jpg&amp;f=1&amp;nofb=1&amp;ipt=73e11ce502837195d5f67da6b1b980322541b1ec275900d23580d55bee332cea</t>
  </si>
  <si>
    <t>Université dans la ville de Toulouse</t>
  </si>
  <si>
    <t>https://www.univ-tlse3.fr/decouvrir-nos-diplomes/licence-mention-sciences-de-la-vie</t>
  </si>
  <si>
    <t>[43.57770, 1.40402]</t>
  </si>
  <si>
    <t>https://external-content.duckduckgo.com/iu/?u=https%3A%2F%2Fwww.presse-tribune.fr%2Frep%2Frep_article%2F2019-05-07_173949_PERS_GENERALE_NOV2018_modif.jpg&amp;f=1&amp;nofb=1&amp;ipt=dfca7e872e428d7122a14b6d26aca290744418a188c682a288cffa4e808803bc</t>
  </si>
  <si>
    <t>Université dans la ville de Rennes</t>
  </si>
  <si>
    <t>https://www.univ-rennes.fr/</t>
  </si>
  <si>
    <t>[48.11778701671989, -1.6394211005481605]</t>
  </si>
  <si>
    <t>https://external-content.duckduckgo.com/iu/?u=https%3A%2F%2Fwww.enia.fr%2Fprojects%2Fdiapos%2FRennes_62052e403b4db.jpeg&amp;f=1&amp;nofb=1&amp;ipt=fe0539dbde145a8afeb284841f13f9f133425e63d78d98257d9b5ce687790bfb</t>
  </si>
  <si>
    <t>Université dans la ville de Rouen</t>
  </si>
  <si>
    <t>[49.3872, 1.0696]</t>
  </si>
  <si>
    <t>https://external-content.duckduckgo.com/iu/?u=https%3A%2F%2Ftse4.mm.bing.net%2Fth%2Fid%2FOIP.hQBPV110ztdznQG-LjzAawHaEj%3Fcb%3Ducfimg2%26pid%3DApi%26ucfimg%3D1&amp;f=1&amp;ipt=fa1c85c39273bb5b9149abc3ea8b19e47c59e218208bb9ce9b087f5211a0332d&amp;ipo=images</t>
  </si>
  <si>
    <t>Université dans la ville d'Evry</t>
  </si>
  <si>
    <t>Evry</t>
  </si>
  <si>
    <t>https://www.univ-evry.fr/</t>
  </si>
  <si>
    <t>[48.6247, 2.4269]</t>
  </si>
  <si>
    <t>https://external-content.duckduckgo.com/iu/?u=https%3A%2F%2Ftse1.mm.bing.net%2Fth%2Fid%2FOIP.01cI7nmdVJGNmKrw-asJ1QHaEn%3Fcb%3Ducfimg2%26pid%3DApi%26ucfimg%3D1&amp;f=1&amp;ipt=47a30bc3dab80ab17cca523f116fcbcbcb63e09b81272391f189d185ce745cd8&amp;ipo=images</t>
  </si>
  <si>
    <t>Université de Paris-Saclay</t>
  </si>
  <si>
    <t>https://www.universite-paris-saclay.fr/</t>
  </si>
  <si>
    <t>[48.7078, 2.1750]</t>
  </si>
  <si>
    <t>https://external-content.duckduckgo.com/iu/?u=https%3A%2F%2Ftse1.mm.bing.net%2Fth%2Fid%2FOIP.Lwx9UYc1_3JTptdnk7QCkgHaD7%3Fcb%3Ducfimg2%26pid%3DApi%26ucfimg%3D1&amp;f=1&amp;ipt=094ecb2b65804719cec45ee9afed4d1d08e9033eb6c0c374606097c7b6499a99&amp;ipo=images</t>
  </si>
  <si>
    <t>Marseille</t>
  </si>
  <si>
    <t>http://polytech.univ-amu.fr</t>
  </si>
  <si>
    <t>[43.2260, 5.4421]</t>
  </si>
  <si>
    <t>https://external-content.duckduckgo.com/iu/?u=https%3A%2F%2Ftse4.mm.bing.net%2Fth%2Fid%2FOIP.RBf5GW4HQJhcG51Y5B-kYwHaD4%3Fcb%3Ducfimg2%26pid%3DApi%26ucfimg%3D1&amp;f=1&amp;ipt=882bf95bbd8894f2d8ee3aab3819badf611aa7fb8278ffb0273dda68975973ab&amp;ipo=images</t>
  </si>
  <si>
    <t>École normale supérieure de Lyon</t>
  </si>
  <si>
    <t>https://www.ens-lyon.fr/</t>
  </si>
  <si>
    <t>[45.72872, 4.82714]</t>
  </si>
  <si>
    <t>https://external-content.duckduckgo.com/iu/?u=https%3A%2F%2Ftse2.mm.bing.net%2Fth%2Fid%2FOIP.Hx0NzigERRVKc_5PO_xLxAHaDt%3Fcb%3Ducfimg2%26pid%3DApi%26ucfimg%3D1&amp;f=1&amp;ipt=c8a27a9dc1fe19e0fec76e3609ef65b89a17f516437afd96ba9565cf8fb671b6&amp;ipo=images</t>
  </si>
  <si>
    <t>ENS Ulm</t>
  </si>
  <si>
    <t>École normale supérieure de Paris</t>
  </si>
  <si>
    <t>https://www.ens.psl.eu/</t>
  </si>
  <si>
    <t>[48.846, 2.354]</t>
  </si>
  <si>
    <t>https://external-content.duckduckgo.com/iu/?u=https%3A%2F%2Ftse4.mm.bing.net%2Fth%2Fid%2FOIP.KkGqSGrQkvRhRqaGsxlYvAHaEK%3Fcb%3Ducfimg2%26pid%3DApi%26ucfimg%3D1&amp;f=1&amp;ipt=448562bcec33bf84bc564881daf57696e15f3ebf054b4b473471cc5e738f4500&amp;ipo=images</t>
  </si>
  <si>
    <t>CentraleSupélec</t>
  </si>
  <si>
    <t>Centrale-Supélec</t>
  </si>
  <si>
    <t>Campus de CentraleSupélec spécialisé, combinant enseignement ingénieur et recherche.</t>
  </si>
  <si>
    <t>https://www.centralesupelec.fr</t>
  </si>
  <si>
    <t>[48.70984, 2.16242]</t>
  </si>
  <si>
    <t>https://external-content.duckduckgo.com/iu/?u=https%3A%2F%2Ftse2.mm.bing.net%2Fth%2Fid%2FOIP.pKtFHySyjw51Eyr1EiYLOgHaCv%3Fcb%3Ducfimg2%26pid%3DApi%26ucfimg%3D1&amp;f=1&amp;ipt=a11771f9680369a252fa5bf670ba27dffd2c5e4786f8475bc64e46728884b77b&amp;ipo=images</t>
  </si>
  <si>
    <t>ENSP Versailles (Paysage)</t>
  </si>
  <si>
    <t>École nationale du paysage, forme des ingénieurs paysagistes.</t>
  </si>
  <si>
    <t>Versailles</t>
  </si>
  <si>
    <t>https://enpag.versailles.archi</t>
  </si>
  <si>
    <t>[48.8049, 2.1204]</t>
  </si>
  <si>
    <t>https://external-content.duckduckgo.com/iu/?u=https%3A%2F%2Ftse2.mm.bing.net%2Fth%2Fid%2FOIP.JlKPMr1KInaomTaintuG2wHaDg%3Fcb%3Ducfimg2%26pid%3DApi%26ucfimg%3D1&amp;f=1&amp;ipt=736931940e0e2fc94b56c733238b9186cb4c037a5a2d4734152f1cb736331bfb&amp;ipo=images</t>
  </si>
  <si>
    <t>IMT Mines Albi</t>
  </si>
  <si>
    <t>École des Mines / IMT, formation ingénieur en énergétique, environnement, matériaux.</t>
  </si>
  <si>
    <t>Albi</t>
  </si>
  <si>
    <t>https://imt-mines-albi.fr</t>
  </si>
  <si>
    <t>[43.9280, 2.1443]</t>
  </si>
  <si>
    <t>https://external-content.duckduckgo.com/iu/?u=https%3A%2F%2Ftse2.mm.bing.net%2Fth%2Fid%2FOIP.DQqWIABQbY8HBTNOcWM4UAHaEd%3Fcb%3Ducfimg2%26pid%3DApi%26ucfimg%3D1&amp;f=1&amp;ipt=6381431d55592d40cc99ca5cd7f2a3d558404531e852aed73f0c34b5d748efd7&amp;ipo=images</t>
  </si>
  <si>
    <t>IMT Mines Alès</t>
  </si>
  <si>
    <t>Ingénierie des ressources naturelles, environnement, matériaux.</t>
  </si>
  <si>
    <t>Alès</t>
  </si>
  <si>
    <t>https://www.imt-mines-ales.fr</t>
  </si>
  <si>
    <t>[44.1249, 4.0835]</t>
  </si>
  <si>
    <t>https://external-content.duckduckgo.com/iu/?u=https%3A%2F%2Ftse4.mm.bing.net%2Fth%2Fid%2FOIP._WH0BS1HtfLNJ1n73xcMIQHaE8%3Fcb%3Ducfimg2%26pid%3DApi%26ucfimg%3D1&amp;f=1&amp;ipt=9979da58e75a05adb3bb910ee9c170dfcf02af87fe4756756b96cfcb6192516f&amp;ipo=images</t>
  </si>
  <si>
    <t>IMT Nord-Europe (Mines)</t>
  </si>
  <si>
    <t>Campus Mines du Nord, ingénierie énergétique, environnement, numérique.</t>
  </si>
  <si>
    <t>Valenciennes</t>
  </si>
  <si>
    <t>https://imt-nord-europe.fr</t>
  </si>
  <si>
    <t>[50.3627, 3.2856]</t>
  </si>
  <si>
    <t>https://external-content.duckduckgo.com/iu/?u=https%3A%2F%2Fimt-nord-europe.fr%2Fwp-content%2Fuploads%2F2019%2F04%2FIMT-Nord-Europe-Campus-VdA-2048x1366.jpg&amp;f=1&amp;nofb=1&amp;ipt=4596d50c1823a6d76a0c88f5acdaed551cacad31041bd196b4795224ddf7440c</t>
  </si>
  <si>
    <t>Polytech Annecy-Chambéry</t>
  </si>
  <si>
    <t>Ingénierie environnementale, développement durable, aménagement territorial.</t>
  </si>
  <si>
    <t>Annecy / Chambéry</t>
  </si>
  <si>
    <t>Chambéry</t>
  </si>
  <si>
    <t>[45.8992, 6.1291]</t>
  </si>
  <si>
    <t>https://external-content.duckduckgo.com/iu/?u=https%3A%2F%2Fwww.polytech.univ-smb.fr%2Ffileadmin%2FPolytech_Internet%2FCommunication%2FActus%2F2019%2FPolytech_site_Annecy_vu_du_ciel_bis.jpg&amp;f=1&amp;nofb=1&amp;ipt=e4f36724d1237f0de7793edf46199c56ca493ce19b3d9a40d1200a0001e6ed58</t>
  </si>
  <si>
    <t>Polytech Sorbonne</t>
  </si>
  <si>
    <t>Parcours Aménagement, Risques, Géo-Énergies, Sciences de la Terre.</t>
  </si>
  <si>
    <t>https://polytech-sorbonne.fr</t>
  </si>
  <si>
    <t>[48.8420, 2.3385]</t>
  </si>
  <si>
    <t>https://external-content.duckduckgo.com/iu/?u=https%3A%2F%2Ftse3.mm.bing.net%2Fth%2Fid%2FOIP.ulFCLqokzx1DS8aTfR7OBQHaEc%3Fcb%3Ducfimg2%26pid%3DApi%26ucfimg%3D1&amp;f=1&amp;ipt=18274e25a3c81f60a71d29d71f099508e7b2da256715e0ad734470d65f567d4f&amp;ipo=images</t>
  </si>
  <si>
    <t>Polytech Orléans</t>
  </si>
  <si>
    <t>Ingénieur civil, infrastructures, environnement.</t>
  </si>
  <si>
    <t>https://www.polytech-orleans.fr</t>
  </si>
  <si>
    <t>[47.9030, 1.9090]</t>
  </si>
  <si>
    <t>https://external-content.duckduckgo.com/iu/?u=https%3A%2F%2Ftse1.mm.bing.net%2Fth%2Fid%2FOIP.Rdm7esG5RErcgeI9SDTBoQHaEK%3Fcb%3Ducfimg2%26pid%3DApi%26ucfimg%3D1&amp;f=1&amp;ipt=5cd3800985e1e7c1ac206a0337a7f788e76af6a1649c688fc4e2e64550e2f607&amp;ipo=images</t>
  </si>
  <si>
    <t>ENTPE Lyon</t>
  </si>
  <si>
    <t>École du génie civil, environnement, aménagement des territoires.</t>
  </si>
  <si>
    <t>https://www.entpe.fr</t>
  </si>
  <si>
    <t>[45.7797, 4.8597]</t>
  </si>
  <si>
    <t>https://external-content.duckduckgo.com/iu/?u=http%3A%2F%2Fice-ingenierie.fr%2Fwp-content%2Fuploads%2F2017%2F07%2FENTPE-2.jpg&amp;f=1&amp;nofb=1&amp;ipt=2daa6fda816a63e2467fdf56d01df10813621b357b5a59d3719e2fe8a600f234</t>
  </si>
  <si>
    <t>EIVP Paris</t>
  </si>
  <si>
    <t>École des ingénieurs de la Ville de Paris, génie urbain.</t>
  </si>
  <si>
    <t>https://www.eivp-paris.fr</t>
  </si>
  <si>
    <t>[48.8613, 2.3791]</t>
  </si>
  <si>
    <t>https://external-content.duckduckgo.com/iu/?u=https%3A%2F%2Fwww.euro-graduation-access.org%2Fwp-content%2Fuploads%2F2019%2F09%2FFacade_EIVP.jpg&amp;f=1&amp;nofb=1&amp;ipt=0d1970cd99e222b0b2cb3b087b75c97225d4865a37907c40c5ed4849434569af</t>
  </si>
  <si>
    <t>EOST Strasbourg</t>
  </si>
  <si>
    <t>École d’ingénieurs spécialisée en sciences de la Terre et géologie.</t>
  </si>
  <si>
    <t>https://eost.unistra.fr/</t>
  </si>
  <si>
    <t>[48.5760, 7.7507]</t>
  </si>
  <si>
    <t>https://external-content.duckduckgo.com/iu/?u=https%3A%2F%2Ftse3.mm.bing.net%2Fth%2Fid%2FOIP.BUVKfd6UqMqNETZqSz2K_gHaE8%3Fcb%3Ducfimg2%26pid%3DApi%26ucfimg%3D1&amp;f=1&amp;ipt=20c7eeadb15df6d294ca97c3301a0b39f99d6dfa0b263b87e38bf633b9edac4b&amp;ipo=images</t>
  </si>
  <si>
    <t>Ingénierie géologique, ressources naturelles et risques.</t>
  </si>
  <si>
    <t>https://www.groupe-inp.fr/la-prepa-des-inp/ensg-geol-ecole-nationale-superieure-de-geologie</t>
  </si>
  <si>
    <t>[48.6936, 6.1844]</t>
  </si>
  <si>
    <t>https://external-content.duckduckgo.com/iu/?u=https%3A%2F%2Ftse3.mm.bing.net%2Fth%2Fid%2FOIP.pv9j6Bsty9Xu3R-5cl4u8gHaFZ%3Fcb%3Ducfimg2%26pid%3DApi%26ucfimg%3D1&amp;f=1&amp;ipt=c3d65733f3b1ec15ff94676f9cc0025a9a497a4e33474b7b6f2ab4d1d49d55f9&amp;ipo=images</t>
  </si>
  <si>
    <t>École Polytechnique</t>
  </si>
  <si>
    <t>X-BIO</t>
  </si>
  <si>
    <t>Grande école d’ingénieurs de très haut niveau généraliste, recherche et innovation</t>
  </si>
  <si>
    <t>Palaiseau</t>
  </si>
  <si>
    <t>https://www.polytechnique.edu</t>
  </si>
  <si>
    <t>[48.7151, 2.2018]</t>
  </si>
  <si>
    <t>https://external-content.duckduckgo.com/iu/?u=https%3A%2F%2Fwww.polytechnique.edu%2Fsites%2Fdefault%2Ffiles%2Fcontent%2Fpages%2Fimages%2F2022-01%2F33550979328_690ac46783_k.jpg&amp;f=1&amp;nofb=1&amp;ipt=035b7188226748b3dc31fde35b760575774a31ccb41a44fa2f267b615ac1a9a9</t>
  </si>
  <si>
    <t>Centrale Lyon</t>
  </si>
  <si>
    <t>Centrale</t>
  </si>
  <si>
    <t>École d’ingénieurs généraliste très réputée, membre du Groupe Centrale.</t>
  </si>
  <si>
    <t>Écully (Lyon)</t>
  </si>
  <si>
    <t>https://www.ec-lyon.fr</t>
  </si>
  <si>
    <t>[45.7773, 4.7787</t>
  </si>
  <si>
    <t>https://external-content.duckduckgo.com/iu/?u=https%3A%2F%2Ftse4.mm.bing.net%2Fth%2Fid%2FOIP.ldq-w-fF02Yz_80bkSwH6QHaDl%3Fcb%3Ducfimg2%26pid%3DApi%26ucfimg%3D1&amp;f=1&amp;ipt=a9b7affe424d4e5329e479c5db9fd2ea600bc4620035be09da9b5325a2f47c8a&amp;ipo=images</t>
  </si>
  <si>
    <t>Centrale Nantes</t>
  </si>
  <si>
    <t>École d’ingénieurs pluridisciplinaire, forte en Mécanique, Électronique, Informatique.</t>
  </si>
  <si>
    <t>https://www.ec-nantes.fr</t>
  </si>
  <si>
    <t>[47.248443974122615, -1.5495404094566885]</t>
  </si>
  <si>
    <t>https://external-content.duckduckgo.com/iu/?u=https%3A%2F%2Fsmapse.com%2Fstorage%2F2021%2F11%2Fconverted%2F825_585_1-18.jpg&amp;f=1&amp;nofb=1&amp;ipt=f81e1971e761c62f8816c8c4851fbb28831fc83fd8e359081417261afdf81578</t>
  </si>
  <si>
    <t>Centrale Méditerranée</t>
  </si>
  <si>
    <t>École Centrale implantée à Marseille, formation ingénieur généraliste dans un cadre méditerranéen.</t>
  </si>
  <si>
    <t>https://www.centrale-mediterranee.fr</t>
  </si>
  <si>
    <t>[43.3434,5.4385]</t>
  </si>
  <si>
    <t>https://external-content.duckduckgo.com/iu/?u=https%3A%2F%2Ftse3.mm.bing.net%2Fth%2Fid%2FOIP.xla0o5bnbnGEXkhNgmBZ2wHaEK%3Fcb%3Ducfimg2%26pid%3DApi%26ucfimg%3D1&amp;f=1&amp;ipt=5c8d0b05ca8782b259cc06f2752c75571c5a51dd40073634e1be4e15e1725502&amp;ipo=images</t>
  </si>
  <si>
    <t>Mines Paris</t>
  </si>
  <si>
    <t>Mines-Pont</t>
  </si>
  <si>
    <t>Grande école d’ingénieurs généraliste, recherche et formation pour les transitions numériques et écologiques.</t>
  </si>
  <si>
    <t>https://www.minesparis.psl.eu</t>
  </si>
  <si>
    <t>[48.84560, 2.33981]</t>
  </si>
  <si>
    <t>https://external-content.duckduckgo.com/iu/?u=https%3A%2F%2Ftse4.mm.bing.net%2Fth%2Fid%2FOIP.S81i_Xj6ovZTft349IvPwQHaE7%3Fcb%3Ducfimg2%26pid%3DApi%26ucfimg%3D1&amp;f=1&amp;ipt=90a3f42df9aab574bdeccf1a02aa92fc3f227a4db4a3913fa49751edb18fa027&amp;ipo=images</t>
  </si>
  <si>
    <t>Ecole nationale des ponts et des chaussées</t>
  </si>
  <si>
    <t>Champs‑sur‑Marne</t>
  </si>
  <si>
    <t>https://ecoledesponts.fr/</t>
  </si>
  <si>
    <t>[48.84142,2.58943]</t>
  </si>
  <si>
    <t>https://external-content.duckduckgo.com/iu/?u=https%3A%2F%2Ftse3.mm.bing.net%2Fth%2Fid%2FOIP.2b5oUKJbVyNuSX3uSmZy2wHaD4%3Fcb%3Ducfimg2%26pid%3DApi%26ucfimg%3D1&amp;f=1&amp;ipt=e036a631211df786fe9671fe778c953154ba9dc423e2ac78ae6eb503ec6208ec&amp;ipo=images</t>
  </si>
  <si>
    <t>Bordeaux INP</t>
  </si>
  <si>
    <t>PC-BIO</t>
  </si>
  <si>
    <t>Bordeaux INP (Institut National Polytechnique de Bordeaux) est un réseau de grandes écoles d’ingénieurs à Bordeaux, formant des spécialistes dans divers domaines de l’ingénierie, comme l’informatique, la chimie, les matériaux, l’électronique et les télécommunications, avec un accent sur l’innovation et l’ouverture internationale.</t>
  </si>
  <si>
    <t>https://www.bordeaux-inp.fr/fr</t>
  </si>
  <si>
    <t>[44.80196,−0.60897]</t>
  </si>
  <si>
    <t>https://external-content.duckduckgo.com/iu/?u=https%3A%2F%2Ftse3.mm.bing.net%2Fth%2Fid%2FOIP.j3JMGLY1VQWFq-iIIpabmAHaE9%3Fcb%3Ducfimg2%26pid%3DApi%26ucfimg%3D1&amp;f=1&amp;ipt=ad950da9deacca2b995626529051fc2c865c0b92f3b878c35fcf9e2a750d3893&amp;ipo=images</t>
  </si>
  <si>
    <t>Chimie ParisTech</t>
  </si>
  <si>
    <t>Chimie ParisTech (École nationale supérieure de chimie de Paris) est une grande école d’ingénieurs située à Paris, spécialisée en chimie, science des matériaux et génie chimique, reconnue pour sa recherche de pointe et la formation d’experts innovants dans les secteurs industriels et académiques.</t>
  </si>
  <si>
    <t>https://www.chimieparistech.psl.eu/</t>
  </si>
  <si>
    <t>[48.84465,2.34310]</t>
  </si>
  <si>
    <t>https://external-content.duckduckgo.com/iu/?u=https%3A%2F%2Ftse1.mm.bing.net%2Fth%2Fid%2FOIP.6UHUKYi9lMOzX6NCIbU93gHaCt%3Fcb%3Ducfimg2%26pid%3DApi%26ucfimg%3D1&amp;f=1&amp;ipt=9c86ab56f6b939a57ae878c6b497b8bf8446ead61e4f87ad362267db6880a080&amp;ipo=images</t>
  </si>
  <si>
    <t>ENSC Lille</t>
  </si>
  <si>
    <t>L’ENSC Lille (École Nationale Supérieure de Chimie de Lille) est une grande école d’ingénieurs spécialisée en chimie, matériaux et procédés, formant des professionnels capables d’innover dans les industries chimiques, pharmaceutiques et des matériaux.</t>
  </si>
  <si>
    <t>https://www.ensc-lille.fr/fr/</t>
  </si>
  <si>
    <t>[50.6167,3.1666]</t>
  </si>
  <si>
    <t>https://external-content.duckduckgo.com/iu/?u=https%3A%2F%2Ftse4.mm.bing.net%2Fth%2Fid%2FOIP.GCxSjGzalmhWMG7pu2d-eQHaFj%3Fcb%3Ducfimg2%26pid%3DApi%26ucfimg%3D1&amp;f=1&amp;ipt=f453641c4d717ddc0e3bbf0c6912bb8139faef5574e28050e14ed482d9f940c7&amp;ipo=images</t>
  </si>
  <si>
    <t>ENSC Montpellier</t>
  </si>
  <si>
    <t>L’ENSC Montpellier (École Nationale Supérieure de Chimie de Montpellier) est une grande école d’ingénieurs spécialisée en chimie et sciences des matériaux, formant des experts capables de concevoir et optimiser des procédés chimiques et matériaux innovants.</t>
  </si>
  <si>
    <t>https://www.enscm.fr/fr/</t>
  </si>
  <si>
    <t>[ 43.6353,3.8629]</t>
  </si>
  <si>
    <t>https://external-content.duckduckgo.com/iu/?u=https%3A%2F%2Ftse2.mm.bing.net%2Fth%2Fid%2FOIP.zHVX5rayT8KQu2zJcihGmQHaDk%3Fcb%3Ducfimg2%26pid%3DApi%26ucfimg%3D1&amp;f=1&amp;ipt=4e180ed24a43991cb3c281284b12aa96db1d8db4ea0c1350a43c88bb69d2d2f1&amp;ipo=images</t>
  </si>
  <si>
    <t>ESPCI Paris</t>
  </si>
  <si>
    <t>L’ESPCI Paris est une grande école d’ingénieurs à Paris, renommée pour la formation d’experts en physique, chimie et ingénierie, avec un fort accent sur la recherche scientifique et l’innovation.</t>
  </si>
  <si>
    <t>https://www.espci.psl.eu/fr/</t>
  </si>
  <si>
    <t>[48.84127,2.34501]</t>
  </si>
  <si>
    <t>https://external-content.duckduckgo.com/iu/?u=https%3A%2F%2Ftse4.mm.bing.net%2Fth%2Fid%2FOIP.S3zxHUKtfzoBi-9QQSeT-wHaDH%3Fcb%3Ducfimg2%26pid%3DApi%26ucfimg%3D1&amp;f=1&amp;ipt=913f4c01bb3d272859fac58ed7f63e357b480f8b0a230fcd079962b2a8d5d49c&amp;ipo=images</t>
  </si>
  <si>
    <t>ENSIC</t>
  </si>
  <si>
    <t>L’ENSIC est une grande école d’ingénieurs à Nancy formant des spécialistes des procédés chimiques et de l’ingénierie industrielle.</t>
  </si>
  <si>
    <t>Vandoeuvre-lès-Nancy</t>
  </si>
  <si>
    <t>https://ensic.univ-lorraine.fr/fr</t>
  </si>
  <si>
    <t>[48.6996, 6.1801]</t>
  </si>
  <si>
    <t>https://external-content.duckduckgo.com/iu/?u=https%3A%2F%2Ftse4.mm.bing.net%2Fth%2Fid%2FOIP.2diZ2ffK5yfSsgiuUSwPUwHaFj%3Fcb%3Ducfimg2%26pid%3DApi%26ucfimg%3D1&amp;f=1&amp;ipt=4dbfd431cae3e4e0b2a79b3f177b306f9d2122d2854e861d033ea78191d912b5&amp;ipo=images</t>
  </si>
  <si>
    <t>https://polytech.univ-nantes.fr/</t>
  </si>
  <si>
    <t>[47.28256, -1.51558]</t>
  </si>
  <si>
    <t>data:image/jpeg;base64,/9j/4AAQSkZJRgABAQAAAQABAAD/2wCEAAkGBxITEhUTExMWFRUXFx4YFxcYGB0dGBoaGBobHhcXHRgYHSggGholHhcYITEhJSkrLi4uGB8zODMsNygtLisBCgoKDg0OGhAQGi0lHSUtLS0rLS0tLS0tLS0tLS0tLS0tLS0tLS0tLS0tLS0tLS0tLS0tLS0tLS0tLS0tLS0tLf/AABEIAKgBLAMBIgACEQEDEQH/xAAcAAACAwEBAQEAAAAAAAAAAAAFBgMEBwIAAQj/xABJEAACAAQDBAUIBggFBAIDAAABAgADESEEEjEFBkFREyIyYXEHcoGRobGywSNCYnPR8BQVJDM0UoLhQ2OSosIlU7PxFtI1VJP/xAAXAQEBAQEAAAAAAAAAAAAAAAABAgAD/8QAIxEBAQACAwEAAgIDAQAAAAAAAAECERIhMUEDUSJCMoGxBP/aAAwDAQACEQMRAD8AqyZe0JU8y0xHSKEDBZgB+tTtdrlxgkdtTVFMRhSRzTrD/Sfxi5K/iz90PigqVB1Ec7GlA5OLwc2yzOjY8G6p8Ot8jFh9lOLoQeRFj6OHti1itkSZnaQH0RRG7pS8ia8vuBqvqNonVKZMdOl9qtPtD2A8T6TFxdpy3FJiU9oHzr4RQE/Gy7MqTh/pb8PZHP6yw5tNlPIPPL1fWtR7I2205xu5mCnhygVWYEMUoDfmBx8QYJ7sbHOFliVWoUBQeYFde+8QScEr9aTNV+VDcerj6BE6z8RL1FR339OYfMxXIaCfKDjpsn9GaSxRmmMpIGoy1APMd0Ley97JE7EKMRhVeeCVE2UtJlqg15ildbQ/HHypopNSntH59cC5e5mE6YYiRRXFagGxza1XgfQIZpuxfeBGm4SfLlqTMeUyohopYlbAE29NaQr7OwrpLlK6FGCqCpFCDluIbN5Ec4SeJdc/RNkprmp1ad9YSNmbaxaGVKf6bMBmWcKMppU0bXnwgajPlYlZtnMP8yX74CeRuUckzNqGIB7qJbwubQ1b84Iz8IZZdJJLqVZ6mWSK0UkXWvOnrgd5Odjz8MJizkC1YlWVgyMKLRlYcLGxoYfrIxvXL/TZuFZSGWYVVl153XiO8QyzEK6j0jT+0ZlMww/Xkxv81vgg/wCUDa86Rj8IspiomLlbleZS40OvGJ0xmn4UNcWbnwPjFNlKmhFPcfAxax+PlSWlK7ZDMWoNOpW1QadnWLLoD1WGvA/IxOiHCOlMdzcKR2bjlxH4xErRiObP2iCjyZlCHUrfS4pQ04QPk7OXAknOzq5GSVWuYXonVuzAkmug42rFUGL2DnqWGcCoGVXvUAnSxBp3R0xz10mw3YaaroCvZOlqAHiKaAg8LmPmIBBzjtLrzKnVfmNLjvhSnT3wM1WcvNkTdTfqNWg0toLV1ANa0BDPKAdQyhQpFQbEkc+Q9FfCOqVjplpWopr69D+R6YXduPlnScSlKKckwnijaW1seJtfWDErDIjWAvoTqDqRXgDqKW17o62hhVmynlv2XUqe6vHuI1jNXz9MSlTUWvY6eIrbwioHzYdkWpOVkBANCRVRQ0ubAxxu1jS8kK5+kQlHHMoaZgOIOoPIxaSSM72pWjVFjQinDvU+uEFfFM5Y5zfvXK1OGZRo3oHhFd4JbUnBmsezVSKioIOhpf1wOmCOGfq547wtpbHmTT1AD2x9UJQLqHoB3g9JX/aCPTHUoUSWOJ63/L3kRHPmAfVvKoVJHFxMAp/t9sTFKcqSGdJeiS1yn7KqKsfffwj5s+V+lYkzCPopZ6o4VHZHo18Y4xBZJQRbzJxoPNB+Z9iwbJl4LDVN6et3P9/UAYmdlR3w2z0KdEh+kcXI+qvPxOg9MBt3h9BP8F+cAMbiGmO0xzVmNT+Hhwhh3f8A4ef/AEfOKxu7RlNaUcTKrAedgxWGBxFKbLvEkekD9rb7ofFCNM3jnSp0wLMcATHABuO0eBqIesKP2t/u1+Ixls5y86dUUpNf42/CK/L8TgcMFvxM+sEf2H2W9kHMJvlIbtqy+FGHyPsjMpqACpHsr7o5lTE0WYK8s3yMc5lkrUbNhdsYeZ2Zq+BND6mpF5pSsLgERiqO4418R+EXsJtadL7LMvmsR7IZ+T9txabiN35DGoXK3NbH2RwuAxMv93PzD+WYM3+7WFHB76T17TBvOX5rSDeD33Q9uX6VavsP4xXLEaojMxTj9/ha/alGvsND7THMpsO56k7I38rjKfbT5xawu8WGf/EC9zCnt09sXXw8maNEcd1D7of9hXDYhPtj1/3iNp8lyOkTKRoQNI6/UoX91MeV3Ker/pNRHMyViR2llTx3jI3rFR7BD23SPe7ZP6dhTJlzFBzKwNK9k1pSogVuDsHEYYzEns32KOSlLXANq66iL8rESmVWZZsgm9xmUf1LX20ghh582lUdZy9xBP4xtjRPbFYQ7RmVkMs5ZpTpZZs5I1eWTStNWFNIt797InTsXhZsuWXWWVDgUzKOkrmKk1K94Bg/Mk4dpgeZK6OZWucC58bVMVd5tjPiZkqbJmAFKA5Wo2XNU0I08IWe3kkAmQSLhbetYpY/aE0bXl4cN9E2HVmXUE52HHSx1F7Rf3kxLS2kL0XShqA1JBU1AqHvTwIMVsdg1/WsqcZyKwkhOiNQSM5IZW0bjaxt3xmW8DtJJrTlWo6GYUbNSljSzeqx5xYmyA3cfzqIAJgGWVtPOpHSO7CopVSbEcwecXpE9lmyZdujGFzlaXzAvQhuFlApBopZilTQ+vgY+AxYweLWaiGlC6Z+jNMwUki4FjcG4jibhSLrccuPo5xOmWsNjuqUahBHVJFaHUcbisTydothGVZlTKmMaTCajNY1oBRQai3zBqHDRew+KOXIx6p0NK5TUXANuEXjnr0WGpg7DgARrqe4i/pj0tCdSCRrUe0XpQwF2fjJkphKbKZZAKTCai4utK1JGv5tdxOJUHtZ20yqK28AfTeO20q06iYnms4dYgVAmIKKKXFSvL+S8XRLGYFXYVBWxBpxFiLaGB21jMeXqssghkzXYlbgAKeOmvGOJWLcqpYZjQGlMr9/VcVFq8TDsI9q4cK9Q1SbG3Htf8q0EDZ2hpF/HlCwIz5uIbl6u6KarVlHePZf5Rw/J6vHxYm0DCuii/gLn2CKk5CxCFubOeQDMfYpPsi2eJvdrn7IufRQU9MVVlGYQmjTTVz/ACywb+sig8Iiqj5u2onM+MYZFussNbKqWJPKwp6+cLe8m1jiJlR+7WyD3t4n8I73l3jSRJTCjMoILMQrEEF2ooIFOF/RCpK2qswkICSBU1BX2kaQZyzqKn7XJr07+786Dvhw2LhcuBMzNXpKE25Mwt3UpCDMmMa2/Ph3cuGpjRtmH/pkrvH/ACMGHoyCSvfELrFgxGwigZ0UVrGPSpZ6Wd96/wAbRsSaxmuzMJVpp/zG+JoM2xUP1cJvUZzLGuYcCNIP7v7ClrLZJzJiL1DMcxpyo2kcTgkkZ5kzo10zd50Ghj5Lny5grKnS5tGUGqqSAxA/w8pGvGCb1pqV9p4J5WKysioKEqEBUFcxoSK0r4UgkZBIotibCvPhHW2MKTipYNP3dqMSO0eenheC0nAkMCK1BBFIMu6Z4E7N2ZiZjulJXUANSSK15EAxUlXd0ZMrIxU3rcHh3Q7ibOH8/qlt8wYUpEpmxOINP8Q8KcuHCNZNNKqzp6owTPlYioFeF/wMSyNpTFNUmA+Bv6wY5kDJtXDVBPUNgKnSZwjjaWzhKxeUM7Vlq1XBrdntfhaNx62d9mDBb24tbZyR39b33hk3Y3qxOImhHkSwlTVw7V7uqVv64Vtj7LSZnLvltRRmy9bXNyMNW7GGyGWDSvEjiaXPrisNi6FMPtuRLCSphIOUHSov4X9kW1k4WddShbmpo3soYznfOc0qegaUxHRoM3AHlXneKc/ECXSrEV0uPnGuV340k01dsDNHZmlh/LNAceuze2K7yGHalEfalNX/AGtQj0Rn2F3gny1DJOOXhU29toLYTfyeO2iuOY/tb2RucbjTamKPZzq/2Zgyt/upX1x8my5RnJOmIyTFFA2qkcvbA3A71ysS3RGQ9SDfqlNONaH2RcwU/CkBZc/o2AoQGoKix6j9U+qLl/Sa5fAuExJlsJvSVZJZNVualShNBWvdEUyUOkQspVzhGBI/dqAGqCCcwIzd9RBFsC+oyP3iqN61qp9QjiZOZbODQ1X6RcwuDUZ0rwrrSFtA/wCj/QFgQy/ogUOpses+h10YRaE9gz1uA3dUBZIag51I489YlbCS2BZKy2EroldDmCCpIIIuDUx9mym6zZVmL1zVO0B0QFx9ZiQRenCMH0y1evAj12pWo4i4/GK7oVN/XwiVgCTQ0ObQ2Nc66c9I7VyKhhUX8e0RpxtT+8TYdvkmYpGVxVSCOIIrqQR6D6BBnYWCqlGfKq2FCMzcalzel+QMCFw9aZL14chzgzsbNLJ1NdQfkOEXjdCjWFkSkHVVfEmp9ZqY6mBHSjKpBGhFflFiWopp7O+PZBTQeqOmwXdt7PRUzSxShuOsRflUWgFJ7XgCfToPfDzjsKJiFLCvGFOdgWlPRxroedKn5CIzm+zFTEAUy1oKXPJRdj7h6IhmY/oJHTUpOnjqLrkWnVHgo9ZMSF1Lkufo1GdzzCkZV78zGtO4c4Rt7J+JUGYGUqJYygrdQFrTX81jnVQU2lghMlJmFeoD7TCeMN0U1h9ke9vz+ah/KUSWNfokPrWvzhO3mbo5hcCrZF10oWaJy/ZxUJxoCzWA4D5/hGj7OmA7MkEaFQR6zGWzwc2JFyAB4DrRp+yR/wBKwv3ae6DCHJRMRmJWERNFJMyGEvYMmvSH7Z+JoclhX3fFn84+9oaIFb+UTCFioYZ1sajnyMI2zd5BJBCSwAdb8jUXIJ1EPflN/gT94nzjI4vGdCnvdKas6ezqpFWqamoqxJtYUh521Iy4ec1StJbHMNRRTcUvUQjeTROux719xjQ96B+xYn7iZ8BgyxmzKy2VtJwerjn9Ln3F4a9zpXSB3ZukLEktzNYyeNk8nEqkgeB+Iw5YzQ2Bb0yjKx8qcFRgsq6saA1MwcfH2R7Z00YnElwiSwEVaIwIqC5rbTX2RW8p4P6dLCkiuHGnnTI78miFnmFiSercmvBoOPTb7HsXtFcKQplTXzdastiKcKEA30hq2G4ZpbAEAgGh1FRW/fGb+VKa6TpWRiv0RJoftHhGibs9mR5i/BBjjqGgvlGxiNM6DP8ASZpbZKNprWtcvshQ8oOHyJJBOtbcTSl9O+DW+zv+t0XMchCCleIQnSIPK0xRsKAFuH7Sq3FP5gaRpj3K21b9CP6HJJBN10NOB7tIHDOMIjCtSwvqePOGfeXDU2ZJooJzpQGtNGv1SOFYG49uj2VImBA1SvVvShUnnWJ4/wDTsz7gyi0qWx7TakwBxYPTOtBaY4r4Vht3MSkuRwsD6xAbBYTPPmkjSZM+cGU+NC3hdtTZdGR5iVmFBlbiDSvhDphts4qVI6aZN6Q9IoQOooA2YaqAxrXiYTMBs8Nh8K16vP5c6nStvbDzi8LWQZf+ZKHqevyhk01rnD77SnNZkgE/zS2Fba00PtgrK2vhyQWmNKLAFRNF6XHaW+o4tCL+qAr5RoOmpXWnSqBX1QW3nwRZ5JW3Uprx6YAew0g3Y3RzRxMsrJOFD2WDaUtqCNeZjzIBapXua4ua2rQ+r5Qi4zCuuFkle3mq3eStSbcbRfOLxMqZIlJOcBlGfMc1bvXtg/y0itsKYjaXRTyAUBCiprTw7/QYYti7ezAsTJBBpUtT0xnmEwzTMRMzrUZgKLRaXpXjwA4Q/wCz9ypDZ6s4yuV1B0A7u+OuNiLsTTeIZa5pPE9vkfGPszb4AFHknT6/Mgc4B4/duRLdFMx1DLNauUsfo2UCy30Y1PdH3AbtyJjuomswVJbVy5bzGcGzDkojpqJ7Gp28FKfSSNf5+498Dtrbaz5FzymuaZGq1aeP5NImm7jYe3XfXu5HugdtjdCThws2Wz5s1LkUoykHhE3WjNgm016ZGlaKOtnViKuSQwtwXKFAPKK+3cMGkTEP/bIP+mhgq6UBp+btFbaSVDDnUeu0cK6R8PYlfcy//GsKe9GHzMx5LLHrZ4cJ60yDlLQepFgRjpNQ5+1LHxxN8YszsF1sb3ZPjb8IfcEmXZuFHKUnwiF/FSKHHcqp7Wf8IY0FMBhh/lp8Ihxmmoa0RkR20cGMxhUwubujqt5x97QwoYX93Ow3nH3mEQP8ouGz4PKGVfpFu7BRo3Exl42Kf+/h/wD+qxpflR/gh96nuaMmBjrhE1oPk8weRyM8t7jsNmGh1ppD7vNLrg8QKgVkuKnQVU3PdGe+S8dZ/PHujQN7v4HE/cv8Jic/TPGInY4//Zkf6n/+kaz5P5YEkAMGFDda0PWOlQD7IxuNi8mw/Zk80/EYvKdJl7LnlHlJ+nS2aaqUkAZSHJu0y/VUiLHk7lpnmZHDiq3AYUNG/mUQL8rP8an3C/HMi95KR+984fCYNfxb648p8hWxEsGaqfRaFXJ7bX6qkQ/buigkjki/DGc+Vdv2tB/kD45n4Ro27+krzB8MT/WK32WN6kVtrL1wGGU5aGp+iPGlO+IvKxhkaZhi0zJlVz2S1bryNo52+K7b9C/+GPnldFZmHHHo3+JYZJuJtuqJb2MqbPkZjQZ1Glb5HHOIm2QZ+zZMpGAIVTUi1AlNBxuI95QZTNs+QEUselFgCfqvygvsgZcJJB16NR7AIm+Knq3uwmUSl4r1T4gUMTYTYrK7tVeszHj9atOHfHGwD1l85veYOq0BJ3/xyZIw8nO6EYd+kcivWF7AcDfjFldpIwsrkdIraDgTbtd8Gd45lMNN4dX/AJDlCXhcUoWhPGuh/CLxxlTat9OCcxBqVYacWmZuelIvY3Fq3R9U9XLqBwmhjoeQgKmIXn7D+ETtjEt1h6jz8IeEHIQnYpWlqtDUGuluyR84jxs9WnSnGi61Br/iaUH2hFE4pbdYe38I8+KQkdYW8fwjcI3Jewm0wjzWyg58tLt9U+ZDVszfOWisOjNC5Iu2lAB9TuhDaZLr2xr/AO+EV3mLXtr6/wC0OpBunnG74S3dWystJc5LFrmaVI+poMsSYTfGVLmOSrnMkpb1r9GXromnWjPnnD+dfX3+EeSanGYo9vuh222pTPKBhxTqNr9rkfsQO27vth5qKtGXrAk0Y8Dwyxn8wy7fTAit+qbd+t4jxfRgVWdn7ipHtrBTs/TVOQNwahB5ggke+IMULnzvnEyTK4aT5i/CIjn9o+d/yjhXR7HCjU5BR6lEUJiVDfeS/cYI7S/eN+eAilwP3qe6MyljE/jD3p8UyDEz+Cw33afAIFY0nLi7/XT4n/CDGLP7LIr/ACL8AhASYjIiQxwYCOKYB7ujqN5x95gypgJu6eofOPvMUIE+VI/sS/fL7njJs0a95R8RkwinIj/SqKOKjsteldYzQbbmDsiWnmy0H/GOmHiabPJbq3nj3RoG9aFsHiFUVJlMAOZIhG8nWNmTHJmMWOcAV5UFoc98T+w4n7pvdBn6Z4x79STh2gq+dMQe9o1PyfysuHVag0XVTUdrgRrGONMjYPJ3/Cp5vzi8/EY+lbyoSpRxgLzSp6FRQIWPae9agRd8mAQdJkLEZhUsoF8vABj74C+Vg/to+5X4ngn5KOzM8/8A4xP9Va7R+UudKGKXPLLnoF+uQKZ5lqAV58eMaDsP/D80fDGbeU6Xmxi/cLb+uZGk7G1Tzf8AjE3yNPSltjFH9clKLbLU5VzfuQe1Svtj3lTxjpNkqrMtZZrQkfW7o42lhj+uXfMtKr1a9b9yg0pb0mLnlEkgzJbsGoEIsQL1JpU1PDlG34Neq/lMemAw/wB6PgmQSk7UlysPIVy1ejXQGmg4iKO/zA4TDrRSek+sCadR70r77awjbf2tMnEKr5ZctFUKDrQHM9gOPDlSD2K+ta3cxAIVxpVj36nhzpwiv/8ANJKqxyuxBYKABwAtUtz4wK3bxbSuiRbuqsctO0oob0uLs1DpYwmT8UB0h0q7FVpcZlrw1vaIu2tPGI3vTEykRJbKJz9GGZgMpUqSSFrY+MC5KliyggFZgRqsbEk0PqBPogHgXlqZH8vTNXhQcSBxArUeiLmzppM0gOtZk7NmJAAyB1BNL1NQwsNTFy2eCi8nDMwBrQFQ1ydC+Qe0xam7KmLSrC9PrNxJHL7JivgZspVUBwfopVq1NTPHyIPu5QbxzksoHBEPozTqm/8AT64Zla2oFPspwqsWFGNus38tflEM/Bss1JRIq4JBBNBSta+qJd4dizsRIwyDNnWuYopYAlUBBoaAEg68oZ8BsyXLlIirUotMx0H9XG5OnONyrcWbbY2vLkOUOZyCRVDUWNjcjUXHdFVttjLm6OYRWlbWIFTXrco0mfufInHM8vUgltCaWAA0VYp7cwRkPKlIkvo2zzFZxUKUlPnB40plIOt2jczxZyN40JoEf1j19qC2zJTz5hQKygOqZ2qAS9MvGtwQYuyvJviJTNPzSmQLnytUdk5qGmlct9dSKRBs3aoXFYaVMlKZc1itRnozswCNQsV6vUHO7aWhuTcekm29mNhlzO4P7ygFf8IGt60vSgHGBWwVbFzGlLWWQKnPXj3Aw0b54KQMZJlnKmZGz1aiLnDBT2a1Jatb6acYE7pYvDfp8zowwzfRy61JJTXxAVTrfSC702oecJMYSllMBWWqrUEkHq60IFNO+OtpTcqs3I19sQSpgMyavLL7QfwiHeMnoZ3gffHKqFceeu354RWkpUGn/dT3RPje23jE2wz+884e6FgfHdjE+enveC20P4eQPsr8AiPeSWqyGoKVYE+N4l2qfoZPmj4RCAcxwY7YxGTARhDATdv92fOPvMGkMBN3T9GfOPvigF+VA/sQ+9X3NGTCNc8osoPhAC6oOlU1atNG5AkmE7ZG6cuaofpWYHTKmX4iT7IvGyTsCvkvN2+8+Qh83r/g8Rav0ZtC1uxstcPO6NQRo1zUmtvlDXthGaRMCmjFaA3sfRf1ROV320jHJeyJjCqyWpzIIHra0aduNLKyAppUClqEa8xC+NjzCetNHfRasfS5r/thl3VTLLI5Ei+tmOvfG57jcdFfffZST8cAS+boloFAAsW+sa8+UE9y9nrIZ0UUvU9at6c/RHtpSM+06HToRwrz5wR2SFE6YFIYClwRTs30tBMrYdQmeU7aE1MWqy3KgyV7Nies/EXjR9kHrJ4fKE7ebBMccs0qCoWWKswAsXLWN2OmgOsOGy+2vh8obeoxXx8oDa7NmqWAJFez1EAHIVyk07u+Lu/cgsVyqScuvACp1PCJdpSx+llgqAl1qwXrGigXY91rcIk3nAzg0qQltK6nidI3HY2A74y2EqS69dQ2YK3CxqFY3IvXKRbUGlRCB0YFaXp40oeFbU/98ocN5cRMdEl5grKAVStiQLAsTUtcUFtKd8LEwh8+Wxd9OVFGa3OrEQRFWtlTHmuHeYRlWisK6imUAgi4p+dIqCZfLc1Wt7EmrVI5WrSvfatx9lIFNGOVaWAvrYa6i4rzr6IptJqbcKD0/n82h3G2siZ0fROAO0WrmqLagjUG8XNgF6nK+WuUlr1pRhxIoCSRrU274HS7LUaqSK9zWv6/fyixspUpW1bnKT2gKkDvFiKHiRzEURHZOwXmTkQ1aWaAlTQ94odDwjWcTJQIFZymRWstK5AFJNeFLXBEZ/g9s4dGl5JfRORlZmJamZlDUUk5KKGvqK8jcw20GnzAmHqqurDpWvmlZ5bM9OXVCU414C8TD0ccDKCLkqSTcpmLGtB2jw00FvbF4Sm1b0AaD8YpbLVZahUvzYmrseJYit/VADB71Tn2s2FeUVlqhCitTYZhMalqEUoOFRG9UYsXjpgYIoGY1IBPLX3wpbcxrzMYisaMg6NRcCk1etVb1BFq93jA3fbamKG1pCSHdaIuRQKhi1SwK8QaBSeAHdDPtbZ6zNoSyxADYZ6gAEh1ZQGBIuQJnsFo2jsC2PvNMxzY+QUZ5Tg5aMTRSvR0UEdUHLmpzJi5u1sJpbYF3Q55fS5sy1ZetMMvreDge6C25+Glo2JYL1nnMWNLm5I+KGQTBDfdD1l29skttuUk1h0Uwym7JJCgZShppVgb8M1Yl3J3ckpipUzrqUrRDahaSpqQRWxZh4juhqfDo2N/SKnOqsgvbLXSniI+y3UYgkgE3uQK89YLkUKygs6aBSuYAnnQWiPbC1Rxz/GONr7TkSJnWLBphrQCvGg0iTanZb88Y5t0vY4/SN4mK0vaIkIzsCVz9amoGUXA405RNjz9I/nH3wI2yf2aZ5x+FYr6KK7w4tJmFDowZWZSGBqCLxa2t+6k+aPhEKWAkSkwLiWSQZoJvWhyCtOXOGzbfYl+HyjMENEbR2YjMBFlMBN3j9GfOPvgypgHu8foz5xhAb5TFJwYp/3V9Nm09cd7u9J0EqksqQg4Zb05tU+yGOabemIjPUCpNufD0nQemNe+lQPwasMUc2uVeJPE84YZygqQdDrC1g8ZLfF1R1aqjs3pQn6w6vHgTBrac1hKcqaEC3rEOviUiKq2FB3f2ipsA0D+e3tYkewwvTSzDruzdxNF/wBK0B9UGN1VARgBQZjYeMNx029qe2ZWXFNMAJYoEu3VoR/KBU+sR93ZFJjgBQKA0VQoqc1Tz9Zjrbh+mbwHuj7u7+8fzV97RWpxH17b7hZhaw6q1PdX+8GcNJD9Q6MpB8CKQp75bZlypvRFSzOg8AGqKmHDA2YeBgvkMBMbOQYpZYYZgwotb0Ci/ugbv1tppU9JSgVZASxvQFmFANOGpgdLNdtTvOPwpF3e3YWIxGNQykJVZaVbRQQ7kivOkP2JvgZv5iECygtDYgjLYkAcwKm+ohNExiSaGtq2JqPH5xo++SyiEWeGqqN0ZrRQ1qhr9YW0pXXXUIWNGdjlVVGY2B6otWxY3pQivHhqIMY2lWZiDRa6g+nmPbHEmaQCeenj+ffHxgVa9DTncGvOPs7Wml9DYDu8IdDS3KYPRdBUk/MniTS1q695ic4iUtAktsw0LHnzWhHLTv50ijhjUmpp8+60W8LSoNyFHWY+zKAR76+qDQTjDsbzGUCoJDMMx1p1a1vU2qIaN3MY7MxOatkUdYEgVJy5TSxpoeUJOMxbNap5AClKWpQegX1hg3GwkxnGUsKk6HrUtUCpC6gVzGxC2uILNNrTWNly3pRi/nZi3rzVI9UL2ztlj9eYiZmJyyVNx9Z1VbcrA+2HjZUiijqFO4+/UivgTEsvZkoTGmhF6RgAz06xA0BPECNHRnu18GqbTM5iXyzMNlNDSXnLy2QetG/qEPX6CpOYi448RXWCBkjiKx2EjVg9cGBelOcJUzeia0zHtJMqbLw6y+jB6tWY0fr1vcPQWrQeJat9WmDBTuiDFqAUQVYhmAYAC56pOkfnSXKmNLmZVbIpVphHZW5VKjnViB4mKxjNgwW3lE2SpyVm2mDpF+iJANDw7RC0NNYLz5VJ/wDUPaBGASACwBIAJue7iY1Xa20a4WVKnFkabKuzEiYFXsOaLQEhAxqRxpWsTcPkO4h8oWGz4zDrKJaYgBmJQjqFwQ1dCByF7w24mXn6o4n53jIMNtPEriZY6ZnNVVblwVOUqozXI0saegxpuy5+JmSBnXJiK3FKcag070IPpgyjaFsaeu3nH3wJ249MLMOozH3LBLFNV2I0JPvgRvCf2Ob4t7lgnovgZu/T9AmMpqrT6qeNBKUUPIggiHfbhtL8Iz3c0f8ATJnCuIb4FjQdvfU8Ib9aBBiMx20RkxBE1MBNgdg+cffBYNAfYXYbzz74oRLt6ayyxlbLVwKgAkWP8wIheaWC3XJc83Jb1VsPRB7eG8qn2h7jC+HzCnER1wnSavbE/if6fnDJtVvoX8PmIVdhv+0DzfnB/eHFiXhprkVCrWgNK3Fq8IMv8jPATNWDu6/Yfzz7zGW4/eWe1VWkofZu3+o/KkMm6m9BUyJCSjMzlc7kkUqaMdL01JrFZdxo+b87wzJWJeVLVQQFOY3N1BsNB6axf8nE95iTHdizFyKnkAtB3C5tCr5QzXHzfBPgWGzyZYd1lMCrCrEioPIQa/i30A37Fdo+iX+fbGn4NqN6DFWfu7hzNbETVDTCBSpqBlFBQc4sYTX0RF8kaK+F3VlDEviiWMx2zC9AAaWp6IOTqgWoB+eA1i3h5dAPCIcVjQtl6x9g/GFihvSkzoyziWEK5azBQ/0oak+nL6dIybFuWYFKqGPVBNNagcbWtr3Rru9GBM2WTMBNNSaZiCaZEAHeaDiaWMIW8uCWSFSblM7o2mOFuEd3GQFuJAXKAOfEa6MXMRg8qBgcwPEaVGouBUio0+YiKYHYrWpsACeQFvUIM7HEsXmqcgZVanHMytQ5TVWKqaa6EWN4GbQzA1NRVacrA00pYVFPGtSYrfemQSnAIoK8/wC0WsROUoFBNa1B0pW1D4X9ZinLY0Fq6+0ix7vxi5IICMzqWF0UE0AexqTl61B9WtfC1doaU3l0PfxB9MPnk/w0xmARilSMxIIFBcMLVJuaEUsT1hCILm5tx9HLv5DvEavuFhZy5akMCAqsSSpy9YKTfKQGI8BUaQZNpp2ElkKL18fzWnjWJxEUvTke6OqxK3dI9WOY+mMz6TH5zwr9JK2mRQZsswA62n1r6ASPTH6IaMe3p3XkYNRSbMpMzKQSKmXXMVsL0Zga68Lwy6aY3K6hQ2bu4ZrBPrGZOlDhV5crPLF9AWFPTDFv1j5c6TIc9WY+GlFa0oBTrgca1FNOAi75O0EwzWc5piTFdCdRVSlSOZAijv5ss5pMiUlRLQsWA7CF6AE8FqxoPVFTJrjZ1Q3dvZxadgZwLAGcsu1qGUUJueeenohq2TvcJu1QqHPKdAigJl6yg0NDQgBc1fZHzdDov0bCZkNZWKckDrAF1YK7clzZLitCOVxb8kcxRInIwGdZxuRcAqopUiuqmJtPHQ3iO03iffC9vJij0EyWOAJPOjWr3Dq+mvcYOzWqzeJ98KWMabOmYqUpVurlVLBuqFZb8QTNfXlE4+jXT5ul/wDiz9+/wiH7eE3XwhC3WUjZ2U2PTuKd9AIe94j1l8D742QCS0RmPExwTEFfUwJ2Ieq3nt7zBRTAfYp6ree3xGKDnezFpKkhmJpnGgqTZrRn+M3kY2loF726zerQeo+MNflFb9lX7xfc0ZzJks7BVUsx0AFSfQI64+A47kYwl3mzXJpdmY6KBU+jWDe1duysVgcSZWbq0UgihuwoRQmx+UW9x935cvBsZy/STiQa3ygEgAcATStYk27ITAyeilMEcgsTVc5oBahuO7SlYeLMtlyB0hWbVaA1GhqBYX0MSYPbWIlDLLmug5Kaca++JMDsebiAzqSxzdaiuzVN62Ui99TFDFKAxC5qA06wo3fUDS8b6fIdt0dppOmyw+HOIxTPR5jNYSxSjmx6wFRyoo4mNXWQdBYRlHkjxiJiZktgKzJfVPGqmpUeINf6Y14zQBUmggyocy8MvG8fZnRJfKAe7WKk7aBNkHppc+AiTD4Kt39XH0mOezp9Z3m2AIHs9J4xOElyhVjU/nQRBitooll4eoRRky3mnMTbmflG2UmKYznFFFFuAOfBie7lz8ITd8NjZJOJnHrTXoo5VJBtXTLJQmv225Q/JlQUUfnmYF7bw6zkyGlzevI2celCy+mNKGe7vo0uUs/JUTpryijaZhImJLBB4szEHvpF3eHYqSpyywXZS6ha9kCYrACuo65J76nlDDN2eBLlqTQJiOnNeedn97QP31TPKDowJU8CK81PjWv+qDPL6rGfFPam5SSUmlBVVBK88qhTc86gm3D1RQwmyjMlEYeVXETmmP0lqSpZYrSpsCwBAoK3sRQw2SccZuEcuRXo2Vzw7Pa7qghvTHO5VUw6ljUtx+ytlHvPiTG5XZ49M4TdjELNyaKGY1HFZcwKzU0r9anJY2ndfZhw6uliGbPbgxs4oeFga959MedSQ1BUWrTxr7z64tycTDctp0Lq0dgwPw0/NwI9Ii4jRmTCPojgGPtYzPGM08qQBnSakAKj63rXh/thk8oO1MRh8E83DGjhlqaAlVJoTRqg8BodYQd89pTp+Bws9gBMcrmoNaowr3BrGneI1x3Onb8H5J+POZZTp88m+IUYwywR9IjW82hHz9cPm29nDNLcqCAwrX7IZlt3NlPiBCr5Jdkj6afMQdIj9EtuyQPpKd/WA9EEfKRt2dhGkGSbzMyMD9YWt/u18I2M103/AKPyz8mfKIsJJRcUQqVlumSZ1aqat1QeXbb0QX2JuvLwpcy3chzmIcrQU5ZVAAhf8nE9Zk+aMhQy1ykEDtA0sRxABFe+JN/t9RIaZhBIzq0spMcsRaYtwtB2gDWsOtuVElmhqlSCCTQi415iBUzDSkd5yijmzHMb6UNCaA2GnIQD3I2hKUvKFVZ2zKpFAQFFctSb6mkFZk6rvoQGIP4RsNbGW50mxM1TKGUUDTKtT+cgV8K0Bhn3jPXXwPvjPMaGE2QA5ymaAVBIDXFCQNfAw/7xHrjw+cOacQsmIyY+sYjJjkpfrAjZGj+e3xGPR6KAZv7LLYUAAk9Ithc6NC1sjYE5XTOGllustAS5C6ig0BqL6a1j5Ho64JtFcXtPFSJXRrMmWFJYHWYd32RQmgFYUMWk0HNMzAsanMesTzNbx6PRU/Y5XxFLxcxQQrMAdaGnd7o72fhHmzAiCrGtvAE1j0egtUIbLwE1MSEABmIQwAagtQ1zVHA1jYcFLmTQKmoApmOnfTnHo9EZd6MGUWXJWp9fEwPxm0S1hYchqe60ej0QY7wmC0L/AOn8fwi3Mm8o9HozKU2dFHF4wKCSaCPR6Awt43aju1tOA/PGIscr9C5IK0FdKaGtLmvDgOEej0R6fARMcRLe9mpX1U+Qhg2biJqyVy5soFLXA1Po0Mej0GMXn4ISdqTBqptzUwTwW1M1shPhf2Uj0eivqBvC4gcVYf0n5QTlVNwDTwPzj7Ho6aSnCHkfVHZQ8j6o+R6GAr7ZxLfpPQTc/wCjzEBDZOxMSpKFqUysvW6wN1sdIUcTsudi1QywyYaVOXo0ZCHmy1YBnawAAHZFNNY9Hou6bfwb8nSOuHmsysOkxEyYAVIIBIF6juiv5TdkT56SGkSi7y3LcqCmtyOIW0ej0Rersl7yZYHEScYTMDjNLOZTW5qKE8CaA374t7/btueu5dyzHKwUkkW6pA0IFgeIPClI9HoLv1fl0XBs2dLmycsqYTLC5iqMfri9hew9ohobYWKMyY0rIyu1crBgQbClR4R6PQTxOXbtNh4zMmaRYTEJIbSjgk0I5Awy7wSmMwUVtORj0eir3EgzgjUUPfEZMej0cy//2Q==</t>
  </si>
  <si>
    <t>[47.4736, -0.5542]</t>
  </si>
  <si>
    <t>data:image/jpeg;base64,/9j/4AAQSkZJRgABAQAAAQABAAD/2wCEAAkGBxMSEhUSExMWFhUWFxgZGBUYFxoYFxkZFxgdHxgYHhgbHiggGBolHRcaITEhJSkrLi4uFyAzODMtNygtLisBCgoKDg0OGxAQGzUmICUtLS0tLS8tLS0tLS0vLS0tLS0tLy0vLS0tLS0tLS0tLS0tLS0tLS0tLS0vLS0tLS0tLf/AABEIAJ8BPgMBIgACEQEDEQH/xAAcAAACAwEBAQEAAAAAAAAAAAAEBQIDBgEHAAj/xABKEAACAQIEAwUEBQkGBAUFAAABAhEDIQAEEjEFQVEGEyJhcTKBkaEUQrHB0SNSU2JykpPh8BUzQ4Ky0gckwvEWVHOD4jRjoqOz/8QAGQEAAwEBAQAAAAAAAAAAAAAAAAECAwQF/8QAMREAAgICAQMBBgUEAwEAAAAAAAECEQMSIRMxQQQiUWGBkaFxscHR8BRScuEkMkIj/9oADAMBAAIRAxEAPwD1bH2PpxycIDjscDVKpwVit6YOKQmgUOcTVzjr0TyxWKLYrgRetTH3eHFariZXC4KJd5jurEdOOgYXAzurH2oYiyYj3eFwBZj7HFWMdwgPsfY+x9OAD7H2Ik45OHQEscJxGccnDoCROK2x9GOxh0KypjithgnRjopYpEsE04iaWDhRxMUMOyWhZ3Rxz6PhsKGPu4xSkTqKhlsSGXw0FHEhRw9xaisZfHfo+DsxVp0/bdF/aYD7cLq/H8uuzM5/VU/aYGDcNLJnL4j9HOFmZ7UnanR97N9wH34X1+OZl7Ahf2V/GThdQfSZpVoYpqZqintVEB6SCfgL4yFValSC7sbizMSLkcsTbJQN/Lpf34XUZXSQ/rdpKA9hXf0ED53+WAqvadz7NJR6ksflGFVMUx5mMUVs2g1XG9hMchiN2XpEJqcZzLz44HIKAPnvgDh1NtVSkxJ0GVBJ9h7iPIHUv+XHGz8+yp9w+84X8Uz9SmwrIstGgrIuNwfdB/exEpeS4rwj1g5wjHRneuB6izj5afPG2qOdNhZzM7Yia5NsDNXjliJzWFqVsG0njfF2sYVDNYn9KwnBjU0M5x3CxczixcycTox7IPx9OBFrHFgY4WpVl045jgxKMKgIE4+DYs04+7vDAhjkYsFPHRSOACojEdOLMzWp0lLVGVVUSSTAAmJ9MLqvFsnUBUV6LMQQF1qSSRYBZuScUkKw1BIkQR1GJingrLZe3s6bm0Rzxf3HlhWAAKWJrSwctHFNfM0qft1EU9Cwn4b4VhRWtLExSwgqdrQKrKtLVTGzgwW9m+kiw9vf81etoZntTU/w6SjzYlvkI+3DGaUUsfMgAkkAdTYYxX9r5uqSDU0idlAX5i/zwK9PVd2LHqxn7cKwo2FfjGXTeqp8l8X+mcLa3aqn9Sm7epCj7z8sIHWmOY3wLVzdMbeL0E/ZgsKQ6rdpK7ewqJ0sWPxNvlhVXzuYqe1VeCdgYHwEDA54hceE+8gb/wBfPFVTONyKr5ATf1tgsC5sv4gSfX3xiYpr/XvwrzWciCXMc9hb3eYGDstkQaWt1uxETuBfrz54V2MlUzSLEQd7C5+WBK/Ezsq/d9vuxHPUKkeGDGw2+fy5YSZvMuvtKw90/MYLoBsc5U0kwLXG5mLxyxTmM2GElz7oA+84RHiQ6/Exgf6evUeV8Kx0Ou+UcvW5P24HbieliogahIt0sfuwJTqDu+9djpJKqq7uRvHRRIk33jEXzWWqRNCpTYf4i1NfxVht6YjYepc+fPXA7Z49cdqcIquJoOlUdB4XHqjX+BOFlbJVh7QYf5Y+3CU1LhMbg49z9DHK+ePmpY+7w4+Jx08mHBTUpDANWj5YZaMR7vFJ0KSsVaYxDDEZUnFi5DGmyMtWA0k64Lp0MXrkzgmnloxEpFxiDLRxalI4MShi9aGM3I0SAlo4sFHBy0sS+j4myqAQmLBSx3MVaVP26ir5FhPw3wtr9osuvsln/ZWPm0YAGopYkKWMzW7WMQe7pKOmok/IR9uAKnGMy5hqukXsoC/MX+eFTGLf+J2XP0imQmomlG0wA5n/AFYQ5PhwP+GeW9tvIwcaKrXUN43knmxv53OKznqQJCksbecY02pUT5A6PDyPrMPQny8/L54ZcOerQYsjvJGnxMWAkg2DWm2+F9TjMGyj3mL+6cC1eMmYLAA3Edeknna3W+IbHY+zFatUB7ys5F7ajHwFsBilTS5Ye+BhJV4kOrH1MD5RgOpxIcgB8j8sLYDStn6Y9hdVjcAt8wIwO3FZ2WOVyOXpOF/Z3Ma2qVGICosSbDUxHP0+3BeZfL1Bd6c9Qwn4g4L4A+PEf1lHuk/En7sAZnPx9cn3xb3Rimvk0+rWHvg4X5jLsPrIflibY6DmzqxsP688UPxRjbn8sKS1SY8PuM4spZKq7afESADAU2B2O1hgpgGPnjzOBqvFerYnmuB1KaNUdG0qJJLL9mrzwxTssFEvVo09je/26cPRsTkkV8Joz+WrtppjZTzPWPuw5qcWq17ZamNCiS7zB9I33xn6iqlVldnzUKpRKaQvOZgmwtz57Yddk+IZmrWqLUomlSFE6FgATqXz3jrhqLQWiD183+ZTPWCd/wCowLWfMneivxxme15rvnKhy9Qsp0wKdSTIQA+BTO4PLCVamc3FZwAb+I2n34pwYKSNjmcvUIk0Y+B+/CqlkHdqJNEIKzlEJImZiYE2w6yHZ1wuqtmK1QwDpDlF+VzgrJZdV7iqf8Oo+mTMuzFaYv0kt/kOGsdK2T1E3SJ5/gdKVV8zTVaahAtgerGS25Yk7dMJ+I5WglWgqVGqIzEVBG45BSqg9djja13UVagVFCK+kLpEQoA+JMmd74V8WyK1K9F6RGtDPdMRO/tKfrRe3kMR7MFcu3v8fP3FW5uo9/d/O5PKUqFPxLlWkeyWjV6jUxK+pjCzjfaMimrChTjURDy5tInYAbfPD2qpFiCD5+7GK43SPcpJA8bb/tPyAJxbwYpq5KzOGaalS4PdhSxJaWCqazi5KWG2NIDFLHRROD1p4sFPE7FUAJQxctDBYpjHQuJch0ULRGJikMXBcfHCsCoKMZut2xp/4dN282IUfKT8sarTjB5/spXT+6KunICA49ZMH3fDDVeQJZjtVmGsoRB5CT8Wt8sLMzxWo395WY+WqB+6IHywJneG5ke1Sq+8GPiLYX0ioLCqAu0E26zfD4HyMVzSKCd/QHFTcTHJQB6j7pwpzTUz7OYjyNx+OFVZo2qofjgsQ/q8ViYYekYDqcWU/WYHpMH4YQVMweZUe/A9SsvNp9F/HCsKNnw/RWpsSBZiJ2NgPxwPXydSJWoPf5ct8KeylAVawWAaYlmDX5QLRHMY5X4hVWrUpLw1WCMYIDAldRCtEbELOKabRNpH2by1YdJ6hvtBF8Lqrv7LoWn0j3icFLxSsTH9mqNrlmESCb+ExYE4bdm+EmpmHqstNCqJCwaijXNxJF4HTAsbE5pGeoUKjWTUR+bJePlPzwTS4JXdwml9RBYCNNgYnxRzIxsMtq+kEayNS0gdIUWmrYCDG3zx3iNCM2gliDRbdj+ePPby2xXSQnkM+2QqZdFSvCUfEWIeXY9IHM7AzbBXbTiQyiUmp0EcNqsRsAFi4Hng6pSAr0YAA73kOtE4t7Tr/wAq37H4YOmkxqTaMLV7YWH/ACdIz0P9R78F8O4o+aJVcpSVQGJYsYEKTFl3gG2NHxor+RuLVUJ8hBv6YVdj0ZEfWjiWaPA2xpMBy6nD0QbOuB12UyXd0kSloT8lTdm0SzFiwudXLT88To0C2eqKzt/cpcQpMHaw28WJ8GqvTVQaTkilTT6oupcn2iPzuWOolb6S9dUTxIE0s/Q7yoPTFbx95GsrfBV2iyiJSrRJikD4mZiDr3GomLdMcopBcgAXUbX/ALtcFZzKVa6uHZFDpoOlWMDVNiSL+7FbcPIn8q14nSFGwAG4PIDC6kQ6cqE1Mn6a/wD6Q+7D2jwanWipUBJC1AACQBDUjNrzcjpGI5LgKO5bxFoALFiLdLR0w7pZBKFIqknwubmbsVn3eEYTyJ9ilCnZkc1lKFKunsqFkiSLEaY99zjNJlWcMtNHYk/VRj84jHoiqpJbRc84vsMXLVjbWPQ4e9dg05sTiu6gDuasgcwF/wBTDAdfIVitAaQNFVqrAsOZOkWm8E/vYe1UmSFcncn7zJxQ2aEEllhfaOtYHre2MpZqLhhXgrzGXcu7I6jW5bxITE8rNgPNcA1sr1q8FBK6VAM+l/ngynn6bey6v+wwc/BZOF+e7R0KdqhZD+ujKJ9WA+OIWXwmW8fN0N0oTTId2qLIEvYiZiGWCNsL6vAKMeBVI6OWMc929enPATdtcsp7sFmQxLLpInfULyYmNtgcC8V7TMjBTSkRKEP4WU7MpC3nrjn6VP2G4/h2+nY12tcqz3BPTBFNseU+P9PV/it+OIO9Tlmao/8Adb8cei4J+TkTo9dJxBj0x5SHqmIzNb+M/wDuxNjX5ZmsP/df8f6jE9P4lbHp4LYsWo3THmCtmI/+pr/xW/HE6dTM/wDma38RvxwOAWeoBsfa8eX1a+ZVdX0mtKiZ1k3HOJv6YLyHb+oqxVpip+sAUPvABBPpGJ6b8D2PQ2qYiK4xh/8Ax+m/0cxE+1y+GPm7f0hY5c/vHmJ/Nw+m/cTsbwVQcB8YpJUo1A6g+BiJGxAkHyMjGSTt8ht9Gf8AeP8Atxd/4wWojL3BGoFZLG0iJjRg6bQbGO4pRzCOpphmWrJREGo+EkNaJ+qTilkzX6Gv/CP+3Gny3Eu7ei2ie67wbxq16vK3tee2HB7Yj9Af3/8A44jRsvdLwecVqWZ50q38L+WF2YyFZt6NX+EPwx6o/bmP8Ex+1il/+Iajeif3v5YWrK2+BgOx1I06zqyspK2DDSTdTYc9j8Dh5UzqU67VNFSpqREhEJ0lC8kkwOfKTb0m/OdoKeazCsPAdOkITcxJJ22vj5c9SAI76mCp8UuvhPiEHpe18axZlJWLK9Koe87tSC6gKTpEHu6gvJtBZeWJcBoVsvqNQ02ZlQElyLpqv7N/a+WD34jR/T0f4iYRcV7TiiYQLVsDKuAt55gG4jb9YYTlJ9g1j5Gv0dw5qBxPhsEZgNJYjn+ufljuYoF3FRmfUF0ghVWxMmxHljPZrtdmFQN3dAagLd/LCeq6FwhzXbrN3ASkNrgzv6k9cJ7gnA9IbLUKVE1qzEMfYLEk6oiVA3bTOwsJxTQ4nlX8Mh9IFijNE+q4wiZ+tVhqram0RyhRuQo+rJCk8zz2wDRqshlWIYRBHnp/ni4w95M8ldj0itxnKUzp1IrHZSpG+31cUN2hyZ2qJ8D+GPOH4q1Vl1MSSRNuh6x9+Khn3AADnYcl6emJcLEsh6JV7S5ZTPfIFgRcm4mftGBH7a5Nb97PorfbGMI9ZmCR4mYsIAEkmLRGGGc4frfRHeOq07KoY6gwDCQswL/DC6Xkvq80aSr2/wAqOTn3KB8zgQdv1qNpp0SepZ9IAkA20nrjI8T7PvRy6s6weZ3ImYBtbDChk1VC4FywXltq/lilhXcHkp0z0Xg3HaKamrMBZCEUFmMrOwkmCYm22HGV4wmZB0I6qaVSNalT+TdROk8jr+WMdwY/lmPLuKP+kY0/D3uCYH5Gt/8A0SPfY4HBJWLduVGU492pzGWrtRp5c1FAUhgrmZUTtaxMYV0/+ItdmCjKqTMRrI/7YdcazbDNEC4Cj0PsmJ9cYqnRYVtRUgFgdjaWGDVDUndHpWX4jmXy5mlSVi41KGZhpggXAvcj4npjJccr1EbLsp7t/HYAgrMkqRN4mItttjZcPga6gqFe702BgtraAJBEYR9oeFpmRSP0hVbeZguSLqWjSlQ8zHuOJm4QTT7P5/IePedNGZTK0MwoqVqYosT/AHtGwJgGWpm31hdYPliurSzGXXXSr1Wo/pEcV6W59pGA0n1xpj2RbuGpoKZqJUkBXLWKgOhYklmDAXhdjAGM7luE5jKtqFRKTRHifRI1GxDgBhfnjj/+cuISX+L5/wBr7r4Gz6ke6+aAqGcFRpfL0K8XJpA0K/QnSB4t+QOGuU4tk40GqUX2u6rpr0E9KlM2PVT9oxz+yPpBJah3dS35agVemSDMtTViVNt1xc/Y52AGZWo1SP72kFhh9UPqI1P5wDyM2OMpdNvW3F/D9O6+lP4GkdqujTU6eQqOi0xl2Yt7K6CSNJm3TBPCeCZc0lJo0yb3KibMR92AOG9ladCotVKjFl21AEXEXFuuDM1xA5enoVlYgMY0nVcyefmflj2XkSOKOOUgHjvCqKDMFaSArQpssKBDd5UkjzMD4Yy2dRU2DAhhvpNvQKMbjuxmabkvHeUxTYabgCT+d7UucA1eyNNp1VXM32XCc0+wnBpiHKIlR1SGGoxJ7voT+Z5Yt4VSpGipbM6Gv4JW0Exvfz9+H1DsrTRgwq1ARcez+HniC9jKQ/xX+C4SlxyJwbMklclrmZiZ6wR+OHVHiy0EogizUwQQiG+pgQZ9B88Mx2NpD/Ef4Dl/3x9X7K0mCg1H8C6RZdpJva+5w9lQ3GyngefSpUruzKmooRqVJPhg2NuXLF2YzCmspUoxRMxEKsHSqlZA9Pliv/wfR/SVPl+GOJ2NpAkrVqAxHLoR08zhqaIeN2T47mR3JiPaT6ij645g4cZqhpj2CCSP7sD6pO8+WEydlVVCgrPpMHTYwQZt0vg+rkKjETmHMSYgRsRf4nFdSJPTlQr4bxJUp0UbReir6mUG8kEEyOg+eCODVdb17oAKlpTUI0DbxWFtsU5jsijhVaq5CDSLAWEnl+0cFZHgfcginVbxEEyoOwjEvIhvHLkAzfENFRn8BC0nnweHwVtM6dW8eeA14xTrVaKgp7cmKWj6jC/jOoSdvTDPN9nA/tVWEhgdIAkO+og+/AeX7KU6TB1dpW4kAj34TyIaxyGeVQLnaenT4qbTpGkGG5gG/wDIYS8cyNCnUzRZfC6o7gXJY1ze5640vBssJZnIJFltHL1wz0qRsPOQMZuduylB1TPIX4fTlSq2a4tsCzx9gxXXQoNPQfeIx7D3afmr8Bgas9OQAq28hhb/AALUDH8OqggCf8Gl8ZfCrNZV2NfSjtenEKTtHQX2x6MuZQc1HvAxx+IUudVB6uo+04Or8CVhpt2ZrhnZzMVFZ9OhO7Al5W4C8on6pGKz2NqnapT2Xm3KPLyxr8x2ryiUDT71XfT7KeI+8iwNxaZwkpdsMuTYVDYfU/n54N33HKEezEdLsFWBB7xLev4Y6Owtb9Im3n+GH7dscutyKoH7H88fUu1tB2XSKt//ALdjPOfL7+eJ2a7D1ixDlexzqyhnTwjqwuSLgxbY/HGi4T2aRWNVr2goDCkb7RJMnrf3kYvr5kKdXiLEezphreRNvfirI9olZjS7qoCt2nQOkfXmL8hiHNs3jj1adF+b4cKxKEgLsUK7jnzEWjYW3wNT7I0mPds7xqk3QE33292C/pY1WU3XVJKgtyiJiNrnqMUZ/tAaL+KgdageEESbmdhcwJnnbERnJG2SEatmm4bwKhTjSgJACyfEYG2+KuMUENQAqICrAgRu/LGSrduqrU1qUFpzIDgzU0hkkbFQDI0medsVcS41VehQqtWIZ1YnQqXAZtMyCFgW3vJ540SZzuro0+kCYEYiPX8MZJePsAp7+NSapKBlsTLGNgRHMRPUgYI4lxJ6NIMcwtzAsstJMGDcnTGwPWMJSRTxs1RqBabX3IHwknCmvmQI53Bv5YytHtAKgFM5xw06lJp0xMgDTLKqny23O9sCfTMwKt3qtTEhpohHDQbEFLcoucLvwTdcmtzWWuaqRBYmQRquem5xA8Yqp4WBZejD7z9+MnmuKtdQdJAJvpn3grhRQ49WPtZpaYtPgBNxyAF8RPCpRqST/EqGVXwek5PMUXv3Sre5Uab9bb/DDNgrEslSJ3BnfnjzbJcVbvEU541AzQe700yPU1FJP+WR54YcU4gQo7ipVqNIka+UGTJMG8bAb88c0vTUqi6+dr6NM2U75o5Q45myyg1DBIBPdLsTf6vScA8TrMasnnYmAQJ9LDHpFLPUWBAfTFrlel46/ZjOcY4TH5RGvvtYzsVHl5jHVLPCbVHNCMknyIKWezFI6aRM7GFDWHkVtc+/F9bjGeGzMSN/ySx7vBhpls2yuQp3A1XtLWuOuGmQzMifPaI+FpxtjkqHKHky78bzsnxsbnaiu3WdOOJxnPHdn/gr/tx6DlaZcBpAHMzt7vh88H0KdNdzqPLpt/PFPLGPgzUJHmtPiWfYwDUJlYHdIJBmfqeQxZ3+f7ov3lTWGI7ruV2HPVpj/tj0jQLt7pOw6fLHKjWJDLAFydo6/PGb9TBPwV03R5gnEeIbsam1h3S3+CY+/tTPahJqhTv+SWdv2MbM8boCxeQOY8vuwWueUifCATEkREYwl66ClwrNsfp94v2kjB5jimc0nS1WeQ7lf9mK8vxHPH2jUHn3SwLi9k6T8Mb3McRoggBxJIFpN/SMWMsm3Wd8dEM8cnZGLhq+557Q4lnCYepVQQb9wGvyEBfnjuT4tnL94Kx6QiD/AKMbju592OaOfO33xjS+BXyYbM8azCNL98EiwKoDq9dHTFR7RyPaq32vT/2Yd9sqRIpgc3PIH6hP3YyLv+Ry40AG8sAJPh5za04nVsNkg5cpUzoLIrPpGzMkjUJUxAtY9dsH5PgeYWnVHcr4kULJW5DoTMN5E8tsT/4eggVJ/NpRttD9N8bNWt/XUYfwJdM87Ts7mAxY0KZDciVtA5XtgHjPCqtOmKj0kQAj2YgyREiT0Pxx6kLj3fdjO9tkU5Uztrpz6FowgpHnz5+T3hVJAiNAiJHIRJvi5eJ6oYKoIkWUXmDtOINlE1aYJWJj+vTFuXyGsAqsLBPpBA54mUx9NdzVcC7K1M1R+kGoqqwYxF/DY22F1PPEx2MeZFYCQNlI2t1xreww/wCQHpW/1vj4N/XvOGmFKkZBuxdQ2OYt6HrPW+C+FdlWpVAxq6ogQRYRtAmByvE2tF8aYVPsGOIen9bYKBcMG4/Vp0QGIGxOxPh8PqSfPGE4jWdar1qZBR1BLG/hI8JPMqbbDe1jjZ8dqoXpyxXwvLRIABFhffz3PK+6HiHChW0tQbUjqylZ2cMQJUbAmdogqYgm2H/WVnbKTnBUWvlaiUGqCuHWRcU+7YNYxbkwkAzBMCZxZwKic0XFerJpqyIVuzqdpvqDKCwEi8DpiOV4JWy9NxSqMzESQSILKQSIi8gEX3E2vhpw3ha5fMlgCFqElYJjSe7CkSLkhuu6r1xnKdMzlFpodcP7I0aKsF1GRpIt7O5i1sU5/s3lUCJo8FMgL4iI1moX2jecaoNaOizPoN488L+JA+Jm9lSjDzIDfeR7sXDKnbJlHsYiv2Wy7ELpsgI9poA1Ezve7YurcDovUpykrSUKqsxZdNMTBBMEWvO+HvdCTJgtE+mmTvcfV/f8sc1lW0gATI2BNx+DQOsk9MCyJ8j1FS8IyazUp0FV2glblUJHspygztuJjlhPx3MLlKL1KaAVGikuosSqm9SJMqDAEA/WMY0zZvTKKASL3AuJuR5W8vljOdoKxL00IU0+8uCgqBgEadIaTLNAEXuBgt1ZpJKtUxBQzlarTUDKUmpQfFVNQ8rhajVC3LlOG+Q7PZWolMvkyr1LBQ7VNv1tQsAN5xoEylJFkLoZkuAQSANlCyWI39npbFVdjpULW0lqSJL6lMEEmCSfESYN7QROMZKMu1r8G/0dFuOi5d/ikJc92PyQaDoWBtqqD5gkYTv2Po70kD+aZtP+ung6vwaszzq8CJ4gpWpqMnwCmGksfONiZthRlsgATNKurET46Jqkj0AlTtyjzxCg79nLfzb/ACaM3T/80Qz1d6TFSQIgkC4BMEeXPD3h3EGemtxKqVJkEmNjPKcUVBl+8k0mJ2mIHmYG2KhTbxBEhIsIAM9Bzxprqrowlj15sa5mvYKpAAMGJi/p6DfB+SYQFMixPQbb3tsP6nCLLI6oztaIsbmd4HvHzwyp56aSmOQibiYkE9dIXaOQ64cs04+Covgdrm5kSfOZk23PK3x+3A2c4mwJVbDruf5fywnymef9a5vP9X54JFIaZOokXAF56eeJlknJ1Q8WSMXbRdR4k/51j1JG/O/9WwfXzilO6ZjHMjYyZInlv0wrGXBAOk87ENy25E4pRKuos4qMDsgUwB7rRtbywlDZms8iyduChezPeOO7dgou2qCB0giPhgurwtg7U0e6mwbruYm3McrY4z1QumilVAOZpMxPpPn/AN8F5HM1oBek5YT4jTYfADY+uG4S7syivF0AVzXpItTMx5bEg+4CB+OO8O7ROXClSyAGSBsOpG52PLfFvE/pFddJovE7FW5bGNMH34pbhWY0IoptIJLNoad+RKztv54uDlFcR5NHOMYa937zRUeKUiCQw5772E7e/FbcXo3/ACikcoBkQPn8sZzK9nsyH7woWggQFIJH+YCAN9xjYZbgyNd6Z8lKgAR6TJ8zjRTyt1XByJMRcUzNKqBs1+eoco5EThQ+Upez3SlV9kEuY9Je2PQP7Mp/ox8Bjn9mL+YPgMbWUZDhBpUO8hQgEARN4LRzP9HDHI8VpVEBDATaDa4I2nfB3EcmVAC0x4miwXkCRc8/xnlgbNgjwtT8KAEkwviEajvcXN/IYyWTJs0o8fz4EzaXLCZUKCWA3kzbYR9+M521qh8qyowJ1U4AM/WGGh1MFGkMsPUFhEAAbyIEWvzv6WDhTG4oQD5rby3nGeXPlg1UNvmB51l8tDHVJIQQBzJAkTG1yMMuG5ZlQqbAkACIsUW0AebGeeNhX4WwGruVj1HOB+HwwKV8ZlQfDqierR9gxzyzzlw4NfNGuOMtqHXYZ5yKnqK4v/6hj5RiLDl5ffgNEdTpUaTIiHIHyF9x/QxM8MrNcBdpH5VgYBvsvXGyz5P7H9v3HPHqkfGoysoIgEbzInVA85PSMTql1IgEiCTEmABMx8uftD1wpzdbSSjwbzIJMREHV1uPgMMm4ZmCv1dZ3OubaQvMW2t6b41WZvwLRIYZ+nqQNAYfmkgyCdyCfibRc3jFfD1JTwGmFA8FRDTIgOQNMHlINxFjAB3GqcPzRKnUoK8w0ch5WEi42N7HEOHcKqU6n934GtU0sNBVhpI0tYqqyeRkyOYwpK0y3kfCRfxejWSqmgE2RTpmCzWMg2GwYeZIvzOyoVqmsbaQEJJJjTLfHnzMY7SyzKUBPlIm6jbYTJmdvLkcMqmThTK3sSAZEk7idpG3SMefkm9fj+ZSfNs4M3PiBtAMRf0I94xziFUG/wBUQWFvEbhVuetyOg5zgKvXp02l9UEEWIGkXbUARckTbofXFncsx1SCoRnDLM6NUEAHZgQBHVZ2OMsDkvIN2QzGULO7WLmABfSbeQ8l36H38yxamKjVGDWBkGAdJiVmLTb1OLcrmLgzaLK3i8WmwP2CPwxHNoW3YMTpBEeE31ajBMDeB5c4x0KSSpMdijPUTdQhnSGIDhSDIK0zHW425eeBqHDC7higUq2u7SG8ILEEC0SegkC+2HNVkpubIGcEyQxYnfwkSF8IuQb6VHK1i5YlCNCrIWQS08mjVv7Q256L4Hmk48r+fU0Sjff+fQU1kYIqAGxGpwsnVBvyFoFxIEi1sCVOzxdnqVGZp5ACRFgPOBHrjR0MooRVQLoAsDNpvzO5Lfbzx82UAW+lVEiASDc81BkbCPU+eHDJPwn9v3KpPuYLivB6wpBPC6qzH8pqQ3ACCQbaZImQPFsNsX0M3XytNaNBJj2n1Cpf83eRHwHmZJ1j00QaxfaxZlG5iZ2ufXbpivK0KZmUgm+ks9Rt4BjkN7+WInmyVzG/xr9zPWnwE5bOBUQd1MBRqJF4AE7YrznE40+BR4h+PTywHVrmPP8ADAeaqSEN41i8iNv548z+v9S5Nbfl+xyMF7a5/UVkQApJA52MDA/YrPhXteQ2/kTy5Wj4YA7Z1doJ9n7CPxj44o7Gjxhomzbe449VZZv0u981dlWelrxX9T7cdHFT+ZbClJP1W+Z+7E1oudkc/wCU/hjxf671n9z+n+ibGLcWbkg+eIniz/mj4H8cCChV/RVP3Gx36JWO1J/3G/DB/Wesfl/QAr+03NoHw/nj5uI1P6AxSuUr8qL/ALh/DH30Sv8Ao394j7cJ5/XPs5fcCf8AaFT+o/DHGz1Xr9n4YrbLV9tJ/wDxH34rahVG+n96mPtbCv1r8z+4BH06p+cfliLZqr+dgZ1cCS1MetWl/vxX4jfvKIjf8tT6/tWxSXrH4l9wCTmqn55n3/jiBzNX8+3qR9+BXF4NegL86qT9uO6l55ih/Ev8hh9L1nul9xfIsr1Gf2i28+0dx9mKmolzLM3rqIO89euPjXpf+ao/vsfsXEGz1Hnm6X/7D/0YqOD1nul9Q1vwdXJRAViB0DEzJnr9uGORpVFABqNp2uSfIDC6lnqBMLmqZJNgFqMT6Du7m2F3aLiL03XQ0iB9VlMHqpAYG/TFaesi0+V8y4pLmhhm8v3SVKod2LEEyxI8JEADYRf4YRZKqWrN+zJPlF/ng/h9cvltTMXGrS3kARO8HUAdXwxT2S4Q1bMVUDAFUO+xuux9fLHpxeZr2u50WttkHtOrfmB5Gy/LfDPL5rwi+wnbyGFHcy4owXcbogDmAsGwbkZ3jDTMZKolu5qjWhUMUACsPZLEMVAtvPOMO/UKq+fYvN7VHn/EcydVQSdUxfodHi9LT6Y9J4bmT3asbDwz0IiSQeYvhBkeCMO+SHGskBouU1FSjehJsIuN9saVeGaaSJ4oWJJI2M322E9OuKnOdVBmfTbRRS4vUHskjyBP2RGD8nxgiFLLBm5BNt+XIb35Y6uRRbHVzMhluPIaelrx64+RFBgAS5Cgg3PWYVRPi6Y5f+TduX5fpRCxyXcuGcZ/CyDn0EyDqHw6fKMUcVbVVsDvBj2tMCY6C3P1PlTQemCqliKlSdE7mPrD32H2YorQ5fWQWLVABvMUjBH6s4ibnxuxIr4pQZ3SAQpdvK2mov2LgjJIoDJqbxI8mNI2DeGQZG955m18DZKtppVUY2hYN5D6J5GQCJWep6DAWTz+lkjzJB5SJu33xHle2sHSv3jvmxkpEAqCAGPXfTaW2G/xnFDV/wAodTRK+yTE7QDFyTaQOhGxwEc4UYtTtcaSIBIJuNt+fvwdlc3rc3hQI8KqsmCCdtRvBgRuL9SKsTC3YMASAEKyARAHltvFrzZiOeIU6hdeZJMDaxmBq9YAGKayPUVQNKjVubSto8tRIPx54vNIQoBAJGk+IXgQT4TBIW483m15UrspWFAhV1GJO022F29N4574GYgFieoN/qwIv8LyOZxGvQuzGdR0iy6gsdJgT8h52GOUXXmrA7DVUXYdQPxw45NXVmqTfJKs4Cm0kg2I3E2tN98CVqoChi3iJIM22JHxtt5YOeqthpJvFoIPS5BEehx36TpkR0uXaPTw2m2N4Z/FNv8AD96CVtVZmE7ZAkogqEzY6afswALAAX6wYnY4obtDVgSlXwsIFpBIEL7MH7dr442YoBdl1aTHhO8dYtfEUzaEHTMalIP+UD7sdMoLuzj6nPYA7RcVFbSatKrI1QWqK5I8MiIi0dOeBuCceTLEutKqxgi9UpAMExoUHl1wb2gqI+kjYDC/KRBkcj9hwOai6QbjbiHamvVA7vXSmCdNWoxGxjU7H5AYpoZvOMzL39axI/vJ/wCnFlKopQLpGwHwwZkswQXMRqaY92NlkXYzc5CzM5jMxerUJvYvYQYOyjEsrk6tRdTVo1EiCWO0dPXywVm6TEmOYf4kzizhtdAkO0FWa0TvHu5YSnzyKU5VwLxwpy5TWD4ZmD1jbEqvAnBUFj4mVfZI9qb7+WGgzSCrrBaNGmwG87QcdzOfVirANZkYzp2Un53w3NE7TE9ThBCFtZsJ2PIeuDF7PSiv3hvpJ/zR5+eC62cplCgDSQQPZ6YnRzK6Qni8MAiTEjBurC5+8VU+DKRd2nU45fVIAxfw/g9MvURixACnlz93lg2h4ZlZJZiPFFmIxZQy5LFwvtACAxHs3N/fhLIuB+2K83wiirQFP+JzP1UBH24qq8JprpinuygyZsT8sM6q+IHT7OqQWJmRHXFoylSrZUBuD7XQ/rNiXkXNDSn7wKtwygrKO6Hikc9/jjn0CgsgooIE39Rgv6E/ep3gCe153UTyJ8sRq1JrECCEQ3MjVMHbGbyqy1CdEMnTSmyvTUKwupC36T849+Hq9smQhaoLA/WK6x+61wPOT6YVZVqjhiFQXBFgWIuWUE7cuY2xdUywTQtQXYSIvY7D1vjDPlmmumjWMJJWLuKcYrPXNYJRKqzBDokKpPhbQV0k33ibQTtADZ7NsYAoofECRQTcNuLeyVI5/VPLbQVqOgAL4TyuZsbGR6HAi0TALTIAuTJKkEqZ3mFYT0jFxySpOS7mmrXDDuwNHTqeqtJ6mqzGmqELF9MbHn7sbHMcQsfAOkliZA2IjcfzxksjAUCB7V2vOx3v0tYYZcRrmAReBI32mDc7fDGObLNQtG0IquTtLMWALBjfxARMm4jlfljmczmgqxnaIneYnY2Fh/V8Im4gErinbS0x4R7ZMkn5/HBHFqnhYGxMza1miPdO+OSKlKXLJyZWouvA1NdqgDqytAkgG4FoBOwuSPcMK+L5xzSYKCuwNouV2meQI9dWMrkM3UpMUWGaZF+USDyuOvnjR8Izz1JECBLQdpJUAfEjHYsTtHE87lHVlKZnWUAILUrTPNBBPoTJ9/PlXwzjVSq7KEFtgJAC6pLFvqqPcMJc/mO4ZnVrsxI3nbzsBbz+WC/pf5ESognUUixYc2EQQOQ5b8zjXLiWtszU9XZphQB0CWPhcEi8rBI+HI+YGBKo/KaXpKNRkwwJWbAgRD2XY8tjvhe+eKIoUeBiZBuCSYj+rWJxDtLxwhUqoByExy8QWB5d22/UY5+lJOjeOWLthmccB9A8WnSQQW8jzJkmTyvgnL02cEmqKagGCRIHKAv1mIBsJPPGWyvFzUAbaDqJ5kcxO8Xjzw74M7OKlI2K+INY6TSJn1tPrA64lrV0aRlsxrlKKi6Mao3Y2ABG0qATIsPjiOe4kaKiNK0wVUkbqXErzMiJYmDMEC+KRws0DMkiranoIsCLtLAQbsNjt8bs5xDL1A501FHsqWgwJAWNN4MKSPOeuBRXktSfjgSJxR2chzUZRYlSGAN5kCBz2PS2GtDKhSGBYr4dKAQo90733M3vflWlNEnWNJkXWIKsJn2RAOkfK2L+8mTEmn4QZiZX2oECSpnbmeuHCKH/AJMavmBaSZtu24teLA/HFlXMgjmBPORJv5euFT1nVZKqwi/KQLG09PPDLLZ3Qs6TLedoG+5O5I+GNXlS8oFJn//Z</t>
  </si>
  <si>
    <t>Liste type</t>
  </si>
  <si>
    <t>Liste_Banque_TB</t>
  </si>
  <si>
    <t>Liste_Banque_BCPST</t>
  </si>
  <si>
    <t>BCPST - 2025</t>
  </si>
  <si>
    <t xml:space="preserve">X BIO </t>
  </si>
  <si>
    <t xml:space="preserve">ENS </t>
  </si>
  <si>
    <t xml:space="preserve">CENTRALE-SUPELEC </t>
  </si>
  <si>
    <t xml:space="preserve">CPGE BCPST AGRO </t>
  </si>
  <si>
    <t xml:space="preserve">CPGE BCPST VÉTO </t>
  </si>
  <si>
    <t xml:space="preserve">CPGE PC AGRO </t>
  </si>
  <si>
    <t xml:space="preserve">Concours POLYTECH BCPST </t>
  </si>
  <si>
    <t xml:space="preserve">G2E </t>
  </si>
  <si>
    <t>X BIO</t>
  </si>
  <si>
    <t>ECOLE POLYTECHNIQUE</t>
  </si>
  <si>
    <t>ENS de Lyon</t>
  </si>
  <si>
    <t>Ecole Nationale des Ponts et Chaussées</t>
  </si>
  <si>
    <t>MINES Paris</t>
  </si>
  <si>
    <t>Concours CCMP BCPST</t>
  </si>
  <si>
    <t>Centrale Lille</t>
  </si>
  <si>
    <t>Concours Ecoles Centrale BCPST</t>
  </si>
  <si>
    <t>CENTRALE-SUPELEC</t>
  </si>
  <si>
    <t>CentraleSupélec - Campus Metz</t>
  </si>
  <si>
    <t>CPGE BCPST AGRO</t>
  </si>
  <si>
    <t>ENSP Versailles école du paysage</t>
  </si>
  <si>
    <t>Concours AGRO BCPST</t>
  </si>
  <si>
    <t>CPGE BCPST VÉTO</t>
  </si>
  <si>
    <t>Concours ENV BCPST</t>
  </si>
  <si>
    <t>CPGE PC AGRO</t>
  </si>
  <si>
    <t>Bordeaux INP - ENSMAC (ex ENSCBP) Agroalimentaire-Génie biologique</t>
  </si>
  <si>
    <t>Bordeaux INP - ENSMAC (ex ENSCBP) Chimie-Génie physique</t>
  </si>
  <si>
    <t>Lorraine INP - ENSIC</t>
  </si>
  <si>
    <t>Concours PC BCPST</t>
  </si>
  <si>
    <t>Concours POLYTECH BCPST</t>
  </si>
  <si>
    <t>ECPM - ESBS Strasbourg - CHEMBIOTECH</t>
  </si>
  <si>
    <t>ESIR Rennes - Technologies de l'information pour la santé</t>
  </si>
  <si>
    <t>ESIROI La Réunion</t>
  </si>
  <si>
    <t>Polytech Annecy-Chambéry - Ecologie industrielle et territoriale</t>
  </si>
  <si>
    <t>Polytech Grenoble - Géotechnique et génie civil</t>
  </si>
  <si>
    <t>Polytech Marseille - Génie Biologique, Biotechnologie</t>
  </si>
  <si>
    <t>Polytech Marseille - Génie Biomédical</t>
  </si>
  <si>
    <t>Polytech Montpellier - Génie biologique et agroalimentaire</t>
  </si>
  <si>
    <t>Polytech Montpellier - Sciences et technologies de l'eau</t>
  </si>
  <si>
    <t>Polytech Orléans - Génie Civil et Environnement</t>
  </si>
  <si>
    <t>Polytech Orléans - Génie industriel</t>
  </si>
  <si>
    <t>Polytech Sorbonne - Agroalimentaire</t>
  </si>
  <si>
    <t>Polytech Sorbonne - Matériaux</t>
  </si>
  <si>
    <t>Polytech Sorbonne - Sciences de la Terre : Aménagement, Risques, géo-Energies</t>
  </si>
  <si>
    <t>Polytech Tours - Génie de l'aménagement et de l'environnement</t>
  </si>
  <si>
    <t>Sup'Biotech (école privée)</t>
  </si>
  <si>
    <t>Bordeaux INP - ENSEGID</t>
  </si>
  <si>
    <t>ECOLE METEOROLOGIE (fonctionnaire)</t>
  </si>
  <si>
    <t>EIL Côte d'Opale - Dunkerque (Génie Energétique et Environnement)</t>
  </si>
  <si>
    <t>École nationale du génie de l'eau et de l'environnement de Strasbourg (ENGEES) - Apprenti</t>
  </si>
  <si>
    <t>École nationale du génie de l'eau et de l'environnement de Strasbourg (ENGEES) - Fonctionnaire</t>
  </si>
  <si>
    <t>Concours ENGEES G2E-BCPST</t>
  </si>
  <si>
    <t>ENSG Nancy</t>
  </si>
  <si>
    <t>ENSG-Géomatique Marne la Vallée</t>
  </si>
  <si>
    <t>ENSG-Géomatique Marne la Vallée Fonctionnaire</t>
  </si>
  <si>
    <t>concours ENSG Marne La vallée G2E-BCPST</t>
  </si>
  <si>
    <t>ENSI Poitiers - Génie de l'Eau et Génie Civil</t>
  </si>
  <si>
    <t>ENSI Poitiers Energétique et Environnement</t>
  </si>
  <si>
    <t>Concours ENSIP G2E-BCPST</t>
  </si>
  <si>
    <t>ENSIL - ENSCI Limoges Céramique Industrielle</t>
  </si>
  <si>
    <t>ENSIL - ENSCI Limoges Génie de l'Eau et Environnement</t>
  </si>
  <si>
    <t>Concours ENSIL-ENSCI G2E-BCPST</t>
  </si>
  <si>
    <t>ENTPE Lyon Civil</t>
  </si>
  <si>
    <t>EIVP Paris Civil - apprentissage</t>
  </si>
  <si>
    <t>EIVP Paris Civil</t>
  </si>
  <si>
    <t>Concours EIVP - filière BCPST</t>
  </si>
  <si>
    <t>ENTPE Lyon Fonctionnaire</t>
  </si>
  <si>
    <t>ESGT le Mans</t>
  </si>
  <si>
    <t>IMT Nord Europe</t>
  </si>
  <si>
    <t>concours Mines-Télécom G2E-BCPST</t>
  </si>
  <si>
    <t>ESITech Rouen - Physique pour la Santé</t>
  </si>
  <si>
    <t>Concours INSA Domaine Biotechnologies-santé BCPST</t>
  </si>
  <si>
    <t>Statistiques de sélectivité — à mettre à jour chaque année en juin</t>
  </si>
  <si>
    <t>Nom_Excel</t>
  </si>
  <si>
    <t>Filiere</t>
  </si>
  <si>
    <t>Specialite</t>
  </si>
  <si>
    <t>Rg_median</t>
  </si>
  <si>
    <t>Dernier</t>
  </si>
  <si>
    <t>N_integres</t>
  </si>
  <si>
    <t>Concours</t>
  </si>
  <si>
    <t>Nom de l'école
(identique à l'onglet Ecoles)</t>
  </si>
  <si>
    <t>Filière
(BCPST, TB ou G2E)</t>
  </si>
  <si>
    <t>Spécialité
(vide si pas de spécialité distincte)</t>
  </si>
  <si>
    <t>Rang médian
(source : scei-concours.fr)</t>
  </si>
  <si>
    <t>Rang dernier intégré
(source : rapport jury PDF)</t>
  </si>
  <si>
    <t>Nb intégrés</t>
  </si>
  <si>
    <t>Classement de référence
(BCPST, TB, Polytech Réseau…)</t>
  </si>
  <si>
    <t>Cursus agronome (civil)</t>
  </si>
  <si>
    <t>Cursus agronome (fonctionnaire)</t>
  </si>
  <si>
    <t>Cursus agroalimentaire</t>
  </si>
  <si>
    <t>Cursus agronome</t>
  </si>
  <si>
    <t>Cursus SAADS</t>
  </si>
  <si>
    <t>Cursus horticulture et paysage</t>
  </si>
  <si>
    <t>Concours ENSTIB</t>
  </si>
  <si>
    <t>Polytech Réseau</t>
  </si>
  <si>
    <t>Microbiologie et Qualité / Production, Innovation , Biotechnologies en agro-alimentaire</t>
  </si>
  <si>
    <t>Technologies de l'information pour la santé</t>
  </si>
  <si>
    <t>Génie Biomédical</t>
  </si>
  <si>
    <t>Génie Biologique et Santé</t>
  </si>
  <si>
    <t>Génie Biologique</t>
  </si>
  <si>
    <t>Génie de l'aménagement et de l'environnement</t>
  </si>
  <si>
    <t>Génie biologique</t>
  </si>
  <si>
    <t>Génie biologique et alimentaire</t>
  </si>
  <si>
    <t>Géotechnique et génie civil</t>
  </si>
  <si>
    <t>Génie Biologique, Biotechnologie</t>
  </si>
  <si>
    <t>Agroalimentaire</t>
  </si>
  <si>
    <t>Génie industriel</t>
  </si>
  <si>
    <t>Génie des Procédés et Bioprocédés</t>
  </si>
  <si>
    <t>⚠️  Rg_median et Dernier sont des rangs SUR LE CLASSEMENT INDIQUÉ EN COLONNE 'Concours'. Pour les Polytech Réseau et Concours ENSTIB, ce n'est PAS le classement BCPST général.</t>
  </si>
  <si>
    <t>Pôle Nancy</t>
  </si>
  <si>
    <t>HAZARD</t>
  </si>
  <si>
    <t>Estéban</t>
  </si>
  <si>
    <t>VANSEVEREN</t>
  </si>
  <si>
    <t>Carla</t>
  </si>
  <si>
    <t>COSKOY</t>
  </si>
  <si>
    <t>Elif</t>
  </si>
  <si>
    <t>KOUSSAFI</t>
  </si>
  <si>
    <t>Selma</t>
  </si>
  <si>
    <t>ENSI Poitiers</t>
  </si>
  <si>
    <t>https://ensip.univ-poitiers.fr/formations/</t>
  </si>
  <si>
    <t>[46.5684,0.3833]</t>
  </si>
  <si>
    <t>https://lh3.googleusercontent.com/gps-cs-s/AHRPTWknvIch5KeU20y1MBKK3mzcq9S-2UW9NO_BSsJMYIax5DAq7P0aC6hXyENOrBZP8WPAOnwkQK-_KbuLbwQwXG1bgmALRcexnfW825E0AJ-7j_Drpyv4Ue36aEcuhvbkhiHc=w1348-h1000-k-no</t>
  </si>
  <si>
    <t>BRONSIN</t>
  </si>
  <si>
    <t>Cléa</t>
  </si>
  <si>
    <t>BONNIN</t>
  </si>
  <si>
    <t>BOUILLET</t>
  </si>
  <si>
    <t>Enzo</t>
  </si>
  <si>
    <t>ENSTBB Bordeaux</t>
  </si>
  <si>
    <t>[44.8268,-0.5968]</t>
  </si>
  <si>
    <t>https://enstbb.bordeaux-inp.fr/fr</t>
  </si>
  <si>
    <t>https://lh3.googleusercontent.com/gps-cs-s/AHRPTWkBmhLT8FoCoqmFXNDUyRYg2IfV4c_sWL8Mih903hj2eQPC0nUb65V7P7_KTM6jZ0XxmRHrkW7AMrSIARAOXRycvHrchBP2beeH4BLdHMbqm9GJ9TsBJ386cIGGZWbef8vcGGo=w1333-h1000-k-no</t>
  </si>
  <si>
    <t>Joan</t>
  </si>
  <si>
    <t>SAVORGNANO</t>
  </si>
  <si>
    <t>Jimmy</t>
  </si>
  <si>
    <t>GLAZ</t>
  </si>
  <si>
    <t>Marine</t>
  </si>
  <si>
    <t>BOUCAUD--GAILLET</t>
  </si>
  <si>
    <t>MERCIER</t>
  </si>
  <si>
    <t>https://ensaia.univ-lorraine.fr/</t>
  </si>
  <si>
    <t>GARNIER</t>
  </si>
  <si>
    <t>COMPAGNON</t>
  </si>
  <si>
    <t>Horticulture ; Semences ; Protection des cultures ; Agroécologie ; Paysage ; Environnement ; Productions végétales ; Sélection variétale ; Entrepreneuriat ; Double diplôme ; Voie Apprentissage/Alternance ; Mobilité internationale</t>
  </si>
  <si>
    <t xml:space="preserve">Le campus d’Angers de l’Institut Agro Rennes-Angers forme des ingénieurs en horticulture et des ingénieurs en paysage. Les domaines d’activité de l’ingénieur en horticulture sont divers, depuis la création de matériel végétal jusqu’au pilotage de structures ou entreprises impliquées dans les filières de l'horticulture, en passant par le contrôle de la qualité des produits dans les filières du végétal. L’ingénieur en paysage est plutôt spécialisé dans la conception et la réalisation de projets en paysage. 
</t>
  </si>
  <si>
    <t>Alimentation ; Nutrition ; Agroalimentaire ; Qualité sanitaire ; Sécurité des aliments ; Biotechnologies ; Santé publique ; Innovation ; Double diplôme ; Voie Apprentissage ; Mobilité internationale.</t>
  </si>
  <si>
    <t xml:space="preserve">Oniris VetAgroBio est une école qui forme aux métiers de vétérinaire et aux métiers d’ingénieurs dans les domaines agroalimentaires, alimentation ou des bioprocédés et biotechnologies. Le cursus ingénieur s’appuie sur des enseignements sur les propriétés des aliments, la microbiologie, la gestion de projets. L’école propose des doubles diplômes dans les domaines de la bioproduction santé, sur la thématique One Health-Emerge et en Nutrition et sciences des aliments. </t>
  </si>
  <si>
    <t>Bois ; Matériaux biosourcés ; Conception ; Construction bois ; Valorisation énergétique ; Production ; Recherche ; Stages ; Projet de recherche ; Double diplôme</t>
  </si>
  <si>
    <t xml:space="preserve">L’ENSTIB forme des ingénieurs spécialisés dans la filière bois : production, bureau d’études, recherche et développement, qualité… Les enseignements incluent l’étude de la mécanique du bois, la rétro-ingénierie (robotique), l’énergétique du bâtiment … et propose plusieurs doubles diplômes avec les écoles d’Ingénieur AgroParisTech, Ingénieur Mines d'Alès, ENS Architecture de Nancy, l’Université du Québec… </t>
  </si>
  <si>
    <t>Grande école d’Ingénieur, dans les domaines de l’agronomie, des industries alimentaires et de la production agroalimentaire. Elle propose une belle diversité de spécialisations : Sciences et Génie de l’Environnement, Biotechnologies, protection des cultures, Formulation alimentaire, Développement industriel…</t>
  </si>
  <si>
    <t>Agroalimentaire ; Sciences des aliments ; Nutrition ; Toxicologie ; Génie des procédés alimentaires ; Qualité ; Sécurité sanitaire ; Vigne ; Vin ; Agroécologie ; Elevage ; Agroéquipements ; Microbiologie ; Voie Apprentissage ; Elèves fonctionnaires ; Double diplôme ; Mobilité internationale</t>
  </si>
  <si>
    <t xml:space="preserve">L’Institut Agro-Dijon est une Grande école formant des Ingénieurs dans les domaines de l’agronomie et de l’alimentation. La formation Ingénieur en alimentation permet d’étudier la nutrition, la microbiologie, le génie des procédés alimentaires … La formation Ingénieur agronome inclus l’étude des élevages, des productions végétales, de l’agroéquipement, … Les deux formations proposent plusieurs spécialisations parmi lesquelles biotechnologies microbiennes et fermentations alimentaires, connaissances et commerce des vins, gestion et protection des sols… </t>
  </si>
  <si>
    <t>Production agricole ; Alimentation ; Elevage ; Environnement ; Territoires ; Santé animale et humaine ; Politiques publiques ; Innovation ; Management ; Contrat de professionnalisation ; Voie Apprentissage ; Mobilité internationale</t>
  </si>
  <si>
    <t>VetAgro Sup est un Institut d’enseignement supérieur et de recherche qui forme notamment des ingénieurs agronomes. Le socle commun permet de se former aux systèmes de production agricole, à l’alimentation et aux procédés, aux politiques publiques. Plusieurs voies d’approfondissement sont possibles et permettent d’intégrer différentes filières en santé animale et humaines, l’innovation en agronomie, développement éco-territorial…</t>
  </si>
  <si>
    <t>Mots_cles</t>
  </si>
  <si>
    <t>Polytech Angers est une école qui forme des ingénieurs capables de répondre aux enjeux technologiques, économiques et environnementaux actuels. La spécialité ouverte aux étudiants de BCPST et de TB est Génie biologique et santé. Les enseignements les risques biologiques et la gestion des risques, les technologies des bioproduits mais également le management de projets et de nombreuses interventions de professionnels.</t>
  </si>
  <si>
    <t>Microbiologie ; Produits de santé ; Qualité ; Gestion des risques ; Réglementation ; Contrôle analytique ; Innovation ; Management de projet ; Alternance ; Mobilité internationale</t>
  </si>
  <si>
    <t>Dispositifs médicaux numériques ; Solutions technologiques ; Surveillance d’ouvrages ; Aléas naturels ; Gestion de crise ; Risques professionnels ; Impacts environnementaux ; Contrat de professionnalisation/ Alternance ; Mobilité internationale.</t>
  </si>
  <si>
    <t>Microbiologie ; Immunologie ; Génie des procédés ; Modélisations et simulations ; Eco-innovation ; Transitions ; Programmation ; Imagerie médicale ; Biomatériaux ; Enseignement par projets ; Contrat de professionnalisation/ Alternance ; Mobilité internationale.</t>
  </si>
  <si>
    <t>L’ENSTBB forme des ingénieurs spécialisés en biotechnologie. La formation permet l’étude de la microbiologie, du génie génétique, du génie des procédés, de la biologie cellulaire… Les débouchés sont nombreux et incluent les secteurs de la santé, de la pharmacie, des biotechnologies industrielles et de la cosmétique. l’école propose sa formation d’ingénieur en contrat de professionnalisation à partir de la 2ème ou la 3ème année. Les diplômés occupent des fonctions en recherche et développement, production, développement des bioprocédés, assurance qualité, validation, affaires réglementaires ou encore management de Biotechnologies</t>
  </si>
  <si>
    <t>Biochimie ; Culture cellulaire ; Génie des procédés ; Production pharmaceutique ; Protéomique ; Contrat de professionnalisation</t>
  </si>
  <si>
    <t>L’ENSI Poitiers forme des ingénieurs dans 2 spécialités : « Énergétique et Environnement », et « Génie de l'Eau et Génie Civil ». Chacune de ces spécialités proposent des parcours différents dès la 2ème année : Eclairage Acoustique Thermique, Energétique Industrielle, Hydrogène et Maitrise de l’Energie Electrique. L’enseignement inclus des bases solides de mathématiques et de physique mais également la conduite de projets, l’écoconception, les géotechnique, hydrogéologie…</t>
  </si>
  <si>
    <t>Génie civil ; Transports ; Protection de l’environnement ; Ressources naturelles ; Réalisation d’ouvrages ; Aménagement urbain ; Energétique Industrielle ; Hydrogène ; Maitrise de l’Energie Electrique ; Traitement des Eaux et des Nuisances ; Matériaux de Construction ; Travaux Souterrains ; Enseignement par projets ; Contrat de Professionnalisation</t>
  </si>
  <si>
    <t xml:space="preserve">Grande école d’Ingénieur, Polytech Lille propose aux BCPST et TB, une spécialisation en Génie Biologique et Alimentaire. Les débouchés professionnels sont l’industrie et la grande distribution dans les secteurs de l’agroalimentaire et de la bioéconomie (biotechnologies, cosmétiques, environnement…). Les enseignements comprennent la biochimie, la microbiologie, le génie industriel, les biotechnologies mais également des sciences humaines, économiques, juridiques et sociales... L’école propose un double diplôme en Management des Entreprises Technologiques et Industrielles et des contrats d’apprentissages en 5ème année. </t>
  </si>
  <si>
    <t>Agro-alimentaire ; Biotechnologies ; Cosmétique ; Hygiène et sécurité ; Sécurité alimentaire ; Qualité ; Management ; Fabrication de produits alimentaires ; Recherche et développement ; Innovation ; Apprentissage ; Double diplôme</t>
  </si>
  <si>
    <t>POLYTECH Marseille est une école d’ingénieur qui forme les étudiants de BCPST/TB aux métiers d’ingénieurs. La spécialité Écologie Industrielle et Environnement (FISEA) permet de travailler à la transition industrielle et environnementale en participant aux grands enjeux de décarbonation, de la gestion des pollutions ou de la préservation des ressources. Les ingénieurs en Génie biologique, Biotechnologie travaillent dans différents domaines parmi lesquels les thérapies innovantes, les biomédicaments, ou encore la valorisation de biomasse... La spécialité Génie biomédical permet de travailler au contact des professionnels de santé et des industriels des technologies médicales grâce à des enseignements en instrumentation, imagerie et informatique biomédicale, mais aussi en biologie et biomécanique humaines.</t>
  </si>
  <si>
    <t>POLYTECH Grenoble est une école d’ingénieur propose plusieurs spécialités. La spécialité Gestion des risques QHSE (Qualité Hygiène Sécurité Environnement) traite des questions de sécurité associées aux risques industriels et environnementaux mais aussi celles concernant la santé de l’Homme au travail. La spécialité Technologies de l'information pour la santé forme à l’analyse des besoins et la conception des systèmes d’information, des logiciels et des dispositifs dédiés à la santé. Cette spécialité est en partenariat avec le CHU de Grenoble Alpes, des laboratoires de recherche du bassin… La spécialité Géotechnique et Génie civil, proposée aux étudiants de BCPST/TB, permet d’étudier risques géologiques et géotechniques, la conception d’ouvrages, la gestion de projets d’ouvrage, … L’école propose plusieurs doubles diplômes, des échanges et des stages à l’étranger.</t>
  </si>
  <si>
    <t>https://eekez.github.io/chesnoy-orientation/fiches/ficheAnaisB.pdf</t>
  </si>
  <si>
    <t>https://eekez.github.io/chesnoy-orientation/fiches/ficheBenoitL.pdf</t>
  </si>
  <si>
    <t xml:space="preserve">MANAS </t>
  </si>
  <si>
    <t xml:space="preserve">MAURY </t>
  </si>
  <si>
    <t xml:space="preserve">BATUT </t>
  </si>
  <si>
    <t>Siriane</t>
  </si>
  <si>
    <t xml:space="preserve">CHOCHOY </t>
  </si>
  <si>
    <t>Emy</t>
  </si>
  <si>
    <t xml:space="preserve">COURTHIAL </t>
  </si>
  <si>
    <t>UTC Compiègne</t>
  </si>
  <si>
    <t>Grande école d’ingénieurs généraliste proposant des formations en génie biologique, génie des procédés, informatique, mécanique, génie urbain et systèmes urbains. L’UTC met l’accent sur l’innovation, la recherche et la personnalisation du parcours de formation.</t>
  </si>
  <si>
    <t>Compiègne</t>
  </si>
  <si>
    <t>https://www.utc.fr</t>
  </si>
  <si>
    <t>[49.41570, 2.82300]</t>
  </si>
  <si>
    <t>Mécanique ; Informatique ; Génie biologique ; Génie des procédés ; Génie urbain ; Systèmes urbains ; Innovation ; Recherche ; International ; Ingénierie</t>
  </si>
  <si>
    <t>https://external-content.duckduckgo.com/iu/?u=https%3A%2F%2Fcareers.recruiteecdn.com%2Fimage%2Fupload%2Fq_auto%2Cw_1920%2Cc_limit%2Fproduction%2Fimages%2FBQC2%2FwIFApRbvNKFd.jpeg&amp;f=1&amp;nofb=1&amp;ipt=04c93c67c5ef840175d2e39636a76e85966178ae1c56d63ab1894ed4ca9f3ad3</t>
  </si>
  <si>
    <t>https://youtu.be/mUE_eBgYsfk</t>
  </si>
  <si>
    <t>https://eekez.github.io/chesnoy-orientation/fiches/ficheLaureenM.pdf</t>
  </si>
  <si>
    <t>https://youtu.be/ZHZfCFbO07Q</t>
  </si>
  <si>
    <t>https://youtu.be/nZCwqNyJkJg</t>
  </si>
  <si>
    <t>RONCERET--ARTAL</t>
  </si>
  <si>
    <t>VIALLARD</t>
  </si>
  <si>
    <t>Flore</t>
  </si>
  <si>
    <t>THOMAS</t>
  </si>
  <si>
    <t>Titouan</t>
  </si>
  <si>
    <t>BROUILLARD</t>
  </si>
  <si>
    <t>BRUERE</t>
  </si>
  <si>
    <t>GALVAGNON</t>
  </si>
  <si>
    <t>Coralie</t>
  </si>
  <si>
    <t>GRIEU</t>
  </si>
  <si>
    <t>HAMAÎMA</t>
  </si>
  <si>
    <t>Hugo</t>
  </si>
  <si>
    <t>UniLaSalle Rouen</t>
  </si>
  <si>
    <t>UniLaSalle Rouen (campus de Mont-Saint-Aignan) est une école d’ingénieurs privée, labellisée EESPIG, centrée sur l’agriculture et la valorisation des agro-ressources. Elle propose le diplôme d’ingénieur en Agronomie et Agro-industries (5 ans, apprentissage possible dès la 3ème année), ainsi qu’un cursus 100 % en anglais (i-SAFE), le diplôme de docteur vétérinaire (6 ans), des Masters of Science (Agricultural &amp; Food Data Management, Agriculture urbaine et villes vertes) et un Mastère spécialisé en marketing et ingénierie des produits alimentaires.</t>
  </si>
  <si>
    <t>https://rouen.unilasalle.fr</t>
  </si>
  <si>
    <t>[49.4643,1.0644]</t>
  </si>
  <si>
    <t>Agronomie ; Agro-industries ; Industries agroalimentaires ; Production agricole ; Conseil / Ingénierie ; Agro-ressources ; Formation 100 % en anglais (i-SAFE) ; Vétérinaire ; Data management agricole ; Agriculture urbaine ; Apprentissage ; Enseignement par projets</t>
  </si>
  <si>
    <t>https://external-content.duckduckgo.com/iu/?u=https%3A%2F%2Ftse4.mm.bing.net%2Fth%2Fid%2FOIP.dMyjMdBPPHmvLoXaHg4s7wHaE5%3Fr%3D0%26pid%3DApi&amp;f=1&amp;ipt=1ea6358f725793e8a8100fabaa3609f906982665721da96559845c974de76e6e&amp;ipo=images</t>
  </si>
  <si>
    <t>IELPO</t>
  </si>
  <si>
    <t>Meggy</t>
  </si>
  <si>
    <t>LAMBERT</t>
  </si>
  <si>
    <t>Lou-Anne</t>
  </si>
  <si>
    <t>Faculté de Nantes</t>
  </si>
  <si>
    <t>La Faculté des sciences et des techniques de Nantes Université (campus Lombarderie) propose des licences en Sciences de la vie, Sciences de la vie et de la Terre (parcours Biologie-Écologie, Sciences de l’Environnement, Géosciences), Chimie, Physique-Chimie et Sciences pour l’ingénieur, ainsi que des licences professionnelles en apprentissage. Elle prolonge ces cursus par des masters (Biologie-Santé, Biologie végétale, Sciences de la Terre et des planètes-Environnement, Chimie, Sciences du médicament et des produits de santé), avec une orientation vers la recherche, l’environnement, les biotechnologies et l’agroalimentaire.</t>
  </si>
  <si>
    <t>https://sciences-techniques.univ-nantes.fr</t>
  </si>
  <si>
    <t>ciences de la vie ; Biologie-Écologie ; Géosciences ; Sciences de l’Environnement ; Chimie ; Biologie végétale ; Sciences de l’eau ; Sciences de l’océan, de l’atmosphère et du climat ; Protection et gestion des espaces naturels ; Biotechnologies ; Agroalimentaire ; Recherche ; Licence professionnelle ; Apprentissage</t>
  </si>
  <si>
    <t>[47.23545,-1.55688]</t>
  </si>
  <si>
    <t>https://external-content.duckduckgo.com/iu/?u=https%3A%2F%2Fwww.infos-nantes.fr%2Fwp-content%2Fuploads%2F2024%2F01%2FUniversite-de-Nantes-1.jpg&amp;f=1&amp;nofb=1&amp;ipt=7b098fc4f039c5627e7cec6b386355e8a89f5bfadeba5e14b0bb1e297eac9561&amp;ipo=images</t>
  </si>
  <si>
    <t>LASCOMBES</t>
  </si>
  <si>
    <t>Faculté de Brest</t>
  </si>
  <si>
    <t xml:space="preserve"> Biologie cellulaire ; Biologie moléculaire ; Génétique ; Physiologie ; Biochimie ; Microbiologie ; Biologie des organismes ; Écologie ; Biologie des populations ; Environnement ; Biologie-Santé ; Biostatistiques ; Sciences de la mer ; Biologie-Géologie ; Parcours pluridisciplinaire ; Physique ; Chimie ; Mathématiques ; Informatique </t>
  </si>
  <si>
    <t>Brest</t>
  </si>
  <si>
    <t>[48.3991,-4.49763]</t>
  </si>
  <si>
    <t>https://external-content.duckduckgo.com/iu/?u=https%3A%2F%2Fnouveau.univ-brest.fr%2Ffaculte-medecine%2Fsites%2Ffaculte-medecine.www.univ-brest.fr%2Ffiles%2Fstyles%2Fproject_1170x550%2Fpublic%2F2022-05%2Ffacade-faculte-de-medecine.jpeg%3Fitok%3DRXVo-Q_E&amp;f=1&amp;nofb=1&amp;ipt=3d338945ed730cf012320b7654db0cbcac2662df392212fbd515129ab1eb5876&amp;ipo=images</t>
  </si>
  <si>
    <t>LASSALLETTE</t>
  </si>
  <si>
    <t>MARC</t>
  </si>
  <si>
    <t>MONROCQ</t>
  </si>
  <si>
    <t>NOEL</t>
  </si>
  <si>
    <t>PICORON</t>
  </si>
  <si>
    <t>Mathis</t>
  </si>
  <si>
    <t>RIVIERE</t>
  </si>
  <si>
    <t>Hélène</t>
  </si>
  <si>
    <t>ROHÉ</t>
  </si>
  <si>
    <t>https://external-content.duckduckgo.com/iu/?u=https%3A%2F%2Farc-anglerfish-eu-central-1-prod-leparisien.s3.amazonaws.com%2Fpublic%2FULPQENXTQ54RN2FIFK2436SAWE.jpg&amp;f=1&amp;nofb=1&amp;ipt=3e392f36bbf1e7e7251fe0dc52d90c688fbd85b7f87eb2cdb6d296aea4dd3510&amp;ipo=images</t>
  </si>
  <si>
    <t>Faculté de Tours</t>
  </si>
  <si>
    <t xml:space="preserve">La Faculté des Sciences et Techniques de l’Université de Bretagne Occidentale propose une licence Sciences de la Vie avec trois parcours : Biologie des Organismes et des Populations - Environnement (BOP-E), Biologie Cellulaire, Moléculaire et Physiologie (BCMP), et BCMP Pluridisciplinaire. La formation couvre les différents niveaux d’étude du vivant, de la biologie cellulaire et moléculaire à l’étude des organismes, des populations et des écosystèmes. Le parcours BCMP Pluridisciplinaire renforce également les enseignements de physique, chimie, mathématiques et informatique et est particulièrement adapté aux étudiants souhaitant conserver un profil scientifique pluridisciplinaire. </t>
  </si>
  <si>
    <t>L’Université de Tours propose une Licence Sciences de la Vie au sein de l’UFR Sciences et Techniques, sur le campus de Grandmont. La formation permet d’acquérir des bases solides dans les différents domaines de la biologie et propose plusieurs orientations : Biologie-Santé, Biodiversité, Écologie, Évolution, International et Accès Santé. Les enseignements associent notamment biologie cellulaire et moléculaire, génétique, physiologie, biologie animale et végétale, écologie et évolution.</t>
  </si>
  <si>
    <t>https://www.univ-brest.fr/departement-biologie/fr</t>
  </si>
  <si>
    <t xml:space="preserve">https://www.univ-tours.fr/formations/licence-sciences-technologies-sante-mention-sciences-de-la-vie-1 </t>
  </si>
  <si>
    <t>Biologie-Santé ; Biodiversité ; Écologie ; Évolution ; Biologie cellulaire ; Biologie moléculaire ; Génétique ; Physiologie ; Biologie animale ; Biologie végétale ; Biotechnologies ; International ; Accès Santé ; Biologie expérimentale</t>
  </si>
  <si>
    <t>[47.35796, 0.70288]</t>
  </si>
  <si>
    <t>TURGAULT</t>
  </si>
  <si>
    <t>Faculté de Paris-Saclay</t>
  </si>
  <si>
    <t xml:space="preserve">La Licence Sciences de la Vie de l’Université Paris-Saclay propose une formation scientifique approfondie en biologie, de l’échelle moléculaire et cellulaire jusqu’aux organismes, populations et écosystèmes. Après un portail Biologie-Chimie-Sciences de la Terre en L1, les étudiants peuvent notamment suivre un parcours Biologie en L2 puis se spécialiser en L3 en biologie-santé, biologie des organismes et écologie, interface biologie-chimie ou enseignement. Un cursus « Bio-Concours » prépare spécifiquement aux concours Licence des écoles nationales supérieures d’agronomie et des écoles vétérinaires. </t>
  </si>
  <si>
    <t>Orsay</t>
  </si>
  <si>
    <t>https://www.universite-paris-saclay.fr/formation/licence/sciences-de-la-vie</t>
  </si>
  <si>
    <t>[48.6996,2.1710]</t>
  </si>
  <si>
    <t>Biologie cellulaire ; Biologie moléculaire ; Biochimie ; Génétique ; Physiologie ; Microbiologie ; Évolution ; Écologie ; Biodiversité ; Biologie des organismes ; Biologie-Santé ; Environnement ; Agrosciences ; Concours Agro ; Concours Véto ; Recherche ; Enseignement</t>
  </si>
  <si>
    <t>https://external-content.duckduckgo.com/iu/?u=https%3A%2F%2Fwww.eugloh.eu%2Ffileadmin%2F_processed_%2F7%2Fe%2Fcsm_Universite-Paris-Saclay_b5166a29aa.jpg&amp;f=1&amp;nofb=1&amp;ipt=91e832de0a175739e9abd219be821a344f87ca53cb722ebad86cb03cd77a3594&amp;ipo=images</t>
  </si>
  <si>
    <t>AMIOT</t>
  </si>
  <si>
    <t>Rose</t>
  </si>
  <si>
    <t>BARTKOWSKI</t>
  </si>
  <si>
    <t>Romane</t>
  </si>
  <si>
    <t>BATIER</t>
  </si>
  <si>
    <t>BOUIN</t>
  </si>
  <si>
    <t>Bénédicte</t>
  </si>
  <si>
    <t>CHARTIER</t>
  </si>
  <si>
    <t>Jérémy</t>
  </si>
  <si>
    <t>CHAUDY</t>
  </si>
  <si>
    <t>DE GOEYSE</t>
  </si>
  <si>
    <t>Côme</t>
  </si>
  <si>
    <t>DUPRE</t>
  </si>
  <si>
    <t>Eliot</t>
  </si>
  <si>
    <t>MAMMAR</t>
  </si>
  <si>
    <t>NEDELEC</t>
  </si>
  <si>
    <t>PICARD-PAYS</t>
  </si>
  <si>
    <t>SALATTI</t>
  </si>
  <si>
    <t>SAN FRANCISCO</t>
  </si>
  <si>
    <t>Maya</t>
  </si>
  <si>
    <t>SAVARIS</t>
  </si>
  <si>
    <t xml:space="preserve">BURDIN </t>
  </si>
  <si>
    <t xml:space="preserve">CAMUS </t>
  </si>
  <si>
    <t>Théo</t>
  </si>
  <si>
    <t>CHAMPION</t>
  </si>
  <si>
    <t>CHERAMY</t>
  </si>
  <si>
    <t>DEKETELAERE</t>
  </si>
  <si>
    <t>Isaure</t>
  </si>
  <si>
    <t>DEMEULEMEESTER</t>
  </si>
  <si>
    <t>FROSSARD</t>
  </si>
  <si>
    <t>HERAIL</t>
  </si>
  <si>
    <t>JOSSELIN</t>
  </si>
  <si>
    <t>Ludye-Ann</t>
  </si>
  <si>
    <t>JULES</t>
  </si>
  <si>
    <t>LANG</t>
  </si>
  <si>
    <t>Audélie</t>
  </si>
  <si>
    <t>Polytech Montpellier</t>
  </si>
  <si>
    <t>Polytech Montpellier est une école d’ingénieurs de l’Université de Montpellier proposant notamment la spécialité Génie biologique et agroalimentaire (GBA). Cette formation aborde les sciences du vivant, les procédés alimentaires et biotechnologiques, ainsi que la conception et la gestion des systèmes de production. L’école propose également des formations en sciences de l’eau, matériaux, mécanique, informatique, électronique et génie civil. Les étudiants issus de BCPST et de TB peuvent intégrer le cycle ingénieur en 1re année via les concours Polytech.</t>
  </si>
  <si>
    <t>https://www.polytech.umontpellier.fr/</t>
  </si>
  <si>
    <t>[43.6329,3.8607]</t>
  </si>
  <si>
    <t>Génie biologique ; Agroalimentaire ; Biotechnologies ; Sciences du vivant ; Procédés alimentaires ; Génie des procédés ; Qualité ; Sécurité alimentaire ; Production ; Environnement ; Sciences de l’eau ; Matériaux ; Mécanique ; Informatique ; Électronique ; Génie civil ; Recherche ; Industrie</t>
  </si>
  <si>
    <t>https://external-content.duckduckgo.com/iu/?u=https%3A%2F%2Ftse1.mm.bing.net%2Fth%2Fid%2FOIP.fh8HJBCWOd1sGVMi2u9gbwHaE8%3Fr%3D0%26pid%3DApi&amp;f=1&amp;ipt=29fd075ccf8341e81dae0d9ab274d5035a5b12e0b38fafc81d49b7c24e1bb2ae&amp;ipo=images</t>
  </si>
  <si>
    <t>MITTEREAU</t>
  </si>
  <si>
    <t>PERDEREAU</t>
  </si>
  <si>
    <t>PESSON</t>
  </si>
  <si>
    <t>ALFROIT</t>
  </si>
  <si>
    <t>BENSAADI</t>
  </si>
  <si>
    <t>Anouchka</t>
  </si>
  <si>
    <t>CHOPINEAU</t>
  </si>
  <si>
    <t>DAUVISSAT</t>
  </si>
  <si>
    <t>Antonin</t>
  </si>
  <si>
    <t>DUCHALAIS</t>
  </si>
  <si>
    <t>Apolline</t>
  </si>
  <si>
    <t>Clément</t>
  </si>
  <si>
    <t>FAVEREAU</t>
  </si>
  <si>
    <t>FOLLIN</t>
  </si>
  <si>
    <t>GAUCHER</t>
  </si>
  <si>
    <t>Éric</t>
  </si>
  <si>
    <t>JACLIN</t>
  </si>
  <si>
    <t>Émeline</t>
  </si>
  <si>
    <t>LARODE</t>
  </si>
  <si>
    <t>MARIANT</t>
  </si>
  <si>
    <t>Chloé</t>
  </si>
  <si>
    <t xml:space="preserve">MERCIER </t>
  </si>
  <si>
    <t>ESA</t>
  </si>
  <si>
    <t xml:space="preserve">L’ESA forme des ingénieurs agronomes en cinq ans autour des sciences du vivant, de l’agriculture, de l’alimentation et de l’environnement. Le cursus associe enseignements scientifiques, projets, expériences professionnelles et stages en France et à l’international. Après une CPGE BCPST ou TB, l’admission est possible directement en 3e année du cursus ingénieur, sur dossier et entretien. Plusieurs parcours d’approfondissement permettent ensuite de se spécialiser selon son projet professionnel. </t>
  </si>
  <si>
    <t>https://www.groupe-esa.com/formation/ingenieur-agronome/</t>
  </si>
  <si>
    <t>[47.4647,-0.5562]</t>
  </si>
  <si>
    <t>Agronomie ; Agriculture ; Agroalimentaire ; Alimentation ; Environnement ; Agriculture durable ; Productions végétales ; Productions animales ; Viticulture ; Agroécologie ; Développement rural ; Commerce et marketing ; Conseil agricole ; Gestion d’exploitation ; International ; Recherche ; Management</t>
  </si>
  <si>
    <t>https://external-content.duckduckgo.com/iu/?u=https%3A%2F%2Ftse2.mm.bing.net%2Fth%2Fid%2FOIP.GF89lkh4bSy3Abp7-xtXAAHaDM%3Fr%3D0%26pid%3DApi&amp;f=1&amp;ipt=1492f6dd698b7169561aa0fbcc49f509c5c4a5424ab2d26f1b2105cad6b3da3a&amp;ipo=images</t>
  </si>
  <si>
    <t>MORIN</t>
  </si>
  <si>
    <t>Anouk</t>
  </si>
  <si>
    <t>MUSSIER</t>
  </si>
  <si>
    <t>PENDJE</t>
  </si>
  <si>
    <t>Danielle</t>
  </si>
  <si>
    <t>SIMON</t>
  </si>
  <si>
    <t>Thibaut</t>
  </si>
  <si>
    <t>BALAT</t>
  </si>
  <si>
    <t>CIOLCZYK</t>
  </si>
  <si>
    <t>Damien</t>
  </si>
  <si>
    <t>BROSSIER</t>
  </si>
  <si>
    <t>DEGOTTEX</t>
  </si>
  <si>
    <t>Faustine</t>
  </si>
  <si>
    <t>DESMAISON</t>
  </si>
  <si>
    <t>JAEGY</t>
  </si>
  <si>
    <t>Bérénice</t>
  </si>
  <si>
    <t>KELLER</t>
  </si>
  <si>
    <t>Éloïse</t>
  </si>
  <si>
    <t>LAFARGE</t>
  </si>
  <si>
    <t>LEGENDRE</t>
  </si>
  <si>
    <t>Estelle</t>
  </si>
  <si>
    <t>PERNY</t>
  </si>
  <si>
    <t>Maëla</t>
  </si>
  <si>
    <t>RIPOTEAU</t>
  </si>
  <si>
    <t>ROUSSELOT</t>
  </si>
  <si>
    <t>Constance</t>
  </si>
  <si>
    <t>ROUX</t>
  </si>
  <si>
    <t>Margaux</t>
  </si>
  <si>
    <t>SULLY</t>
  </si>
  <si>
    <t>TOURNANT</t>
  </si>
  <si>
    <t>VALAT</t>
  </si>
  <si>
    <t>Charles</t>
  </si>
  <si>
    <t>BEAUDOIN</t>
  </si>
  <si>
    <t>Anne-Laure</t>
  </si>
  <si>
    <t>BELHACEL</t>
  </si>
  <si>
    <t>BLOCQUEL</t>
  </si>
  <si>
    <t>DECACHELEU</t>
  </si>
  <si>
    <t>DOUILLARD</t>
  </si>
  <si>
    <t>Louis marie</t>
  </si>
  <si>
    <t>DOUSSET</t>
  </si>
  <si>
    <t>HELLER</t>
  </si>
  <si>
    <t>Joël</t>
  </si>
  <si>
    <t>JOHNS</t>
  </si>
  <si>
    <t>Johnathan</t>
  </si>
  <si>
    <t>MASSON</t>
  </si>
  <si>
    <t>Auréliane</t>
  </si>
  <si>
    <t>Marlène</t>
  </si>
  <si>
    <t>POISSON</t>
  </si>
  <si>
    <t>VADEN ABEELE</t>
  </si>
  <si>
    <t>OUZAITE</t>
  </si>
  <si>
    <t>Ikram</t>
  </si>
  <si>
    <t>PAGEAUT</t>
  </si>
  <si>
    <t>Faculté de Lyon</t>
  </si>
  <si>
    <t xml:space="preserve">L’Université Claude Bernard Lyon 1 propose une Licence Sciences de la Vie offrant une formation large en biologie, de la biochimie et de la biologie moléculaire jusqu’à la biologie des organismes, l’écologie et l’environnement. La L1 est commune au portail Biosciences et Géosciences, puis les étudiants se spécialisent progressivement. La L3 propose notamment des parcours en Biochimie, Biologie cellulaire, Génétique, Microbiologie, Neurosciences, Physiologie, Sciences de la biodiversité et Sciences du végétal. Une préparation spécifique au concours B des écoles nationales vétérinaires est proposée en L2, sur sélection, notamment pour les étudiants issus de BCPST ou de TB. </t>
  </si>
  <si>
    <t>https://licencesv.univ-lyon1.fr/</t>
  </si>
  <si>
    <t>[45.7823,4.8656]</t>
  </si>
  <si>
    <t>Biochimie ; Biologie cellulaire ; Biologie moléculaire ; Génétique ; Microbiologie ; Neurosciences ; Physiologie animale et humaine ; Biodiversité ; Écologie ; Évolution ; Sciences du végétal ; Bio-informatique ; Biostatistiques ; Biologie-Santé ; Recherche ; Enseignement ; Concours vétérinaire</t>
  </si>
  <si>
    <t>https://external-content.duckduckgo.com/iu/?u=https%3A%2F%2Ftse2.mm.bing.net%2Fth%2Fid%2FOIP.1l9oHeE2hVPXv_WU7IqVyAHaE8%3Fr%3D0%26pid%3DApi&amp;f=1&amp;ipt=ab108bf42c5ac71dee8135b984c742d9acee3dfdea3157f9f6c5a43ec0bb3fc2&amp;ipo=images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</si>
</sst>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1"/>
      <color theme="10"/>
      <name val="Calibri"/>
      <family val="2"/>
      <scheme val="minor"/>
    </font>
    <font>
      <b/>
      <sz val="11"/>
      <color theme="1"/>
      <name val="Calibri"/>
      <family val="2"/>
      <scheme val="minor"/>
    </font>
    <font>
      <sz val="11"/>
      <color rgb="FF000000"/>
      <name val="Calibri"/>
      <family val="2"/>
      <scheme val="minor"/>
    </font>
    <font>
      <sz val="7.5"/>
      <color rgb="FF000000"/>
      <name val="Liberation Sans"/>
    </font>
    <font>
      <sz val="10"/>
      <name val="Arial"/>
      <family val="2"/>
    </font>
    <font>
      <b/>
      <sz val="12"/>
      <color theme="1"/>
      <name val="Calibri"/>
      <family val="2"/>
      <scheme val="minor"/>
    </font>
    <font>
      <b/>
      <sz val="11"/>
      <color theme="1"/>
      <name val="Calibri"/>
      <family val="2"/>
      <scheme val="minor"/>
    </font>
    <font>
      <b/>
      <sz val="13.5"/>
      <color theme="1"/>
      <name val="Calibri"/>
      <family val="2"/>
      <scheme val="minor"/>
    </font>
    <font>
      <b/>
      <sz val="11"/>
      <color rgb="FFFFFFFF"/>
      <name val="Calibri"/>
      <family val="2"/>
    </font>
    <font>
      <b/>
      <sz val="10"/>
      <color rgb="FFFFFFFF"/>
      <name val="Calibri"/>
      <family val="2"/>
    </font>
    <font>
      <i/>
      <sz val="8"/>
      <color rgb="FF777777"/>
      <name val="Calibri"/>
      <family val="2"/>
    </font>
    <font>
      <sz val="9"/>
      <name val="Calibri"/>
      <family val="2"/>
    </font>
    <font>
      <i/>
      <sz val="8"/>
      <color rgb="FFAA4400"/>
      <name val="Calibri"/>
      <family val="2"/>
    </font>
    <font>
      <sz val="10"/>
      <color theme="1"/>
      <name val="Arial Unicode MS"/>
    </font>
    <font>
      <sz val="16"/>
      <color theme="1"/>
      <name val="Calibri"/>
      <family val="2"/>
      <scheme val="minor"/>
    </font>
  </fonts>
  <fills count="14">
    <fill>
      <patternFill patternType="none"/>
    </fill>
    <fill>
      <patternFill patternType="gray125"/>
    </fill>
    <fill>
      <patternFill patternType="solid">
        <fgColor theme="2"/>
      </patternFill>
    </fill>
    <fill>
      <patternFill patternType="solid">
        <fgColor theme="2"/>
        <bgColor indexed="64"/>
      </patternFill>
    </fill>
    <fill>
      <patternFill patternType="solid">
        <fgColor rgb="FF2D6A4F"/>
      </patternFill>
    </fill>
    <fill>
      <patternFill patternType="solid">
        <fgColor rgb="FF40916C"/>
      </patternFill>
    </fill>
    <fill>
      <patternFill patternType="solid">
        <fgColor rgb="FFF0F0F0"/>
      </patternFill>
    </fill>
    <fill>
      <patternFill patternType="solid">
        <fgColor rgb="FFD6F0E0"/>
      </patternFill>
    </fill>
    <fill>
      <patternFill patternType="solid">
        <fgColor rgb="FFD6E8F8"/>
      </patternFill>
    </fill>
    <fill>
      <patternFill patternType="solid">
        <fgColor rgb="FFEDE0F5"/>
      </patternFill>
    </fill>
    <fill>
      <patternFill patternType="solid">
        <fgColor rgb="FFFFF3CD"/>
      </patternFill>
    </fill>
    <fill>
      <patternFill patternType="solid">
        <fgColor rgb="FFFFE4C4"/>
      </patternFill>
    </fill>
    <fill>
      <patternFill patternType="solid">
        <fgColor rgb="FFFFCCFF"/>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style="thin">
        <color rgb="FFCCCCCC"/>
      </bottom>
      <diagonal/>
    </border>
    <border>
      <left style="thin">
        <color theme="2"/>
      </left>
      <right style="thin">
        <color theme="2"/>
      </right>
      <top style="thin">
        <color theme="2"/>
      </top>
      <bottom style="thin">
        <color theme="2"/>
      </bottom>
      <diagonal/>
    </border>
    <border>
      <left style="thin">
        <color theme="2"/>
      </left>
      <right/>
      <top style="thin">
        <color theme="2"/>
      </top>
      <bottom style="thin">
        <color theme="2"/>
      </bottom>
      <diagonal/>
    </border>
    <border>
      <left style="thin">
        <color theme="2"/>
      </left>
      <right style="thin">
        <color theme="2"/>
      </right>
      <top/>
      <bottom style="thin">
        <color theme="2"/>
      </bottom>
      <diagonal/>
    </border>
    <border>
      <left/>
      <right/>
      <top style="thin">
        <color theme="2"/>
      </top>
      <bottom style="thin">
        <color theme="2"/>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3">
    <xf numFmtId="0" fontId="0" fillId="0" borderId="0"/>
    <xf numFmtId="0" fontId="20" fillId="0" borderId="0"/>
    <xf numFmtId="0" fontId="24" fillId="0" borderId="0"/>
  </cellStyleXfs>
  <cellXfs count="105">
    <xf numFmtId="0" fontId="0" fillId="0" borderId="0" xfId="0"/>
    <xf numFmtId="0" fontId="0" fillId="0" borderId="0" xfId="0" applyAlignment="1">
      <alignment horizontal="center"/>
    </xf>
    <xf numFmtId="0" fontId="0" fillId="2" borderId="0" xfId="0" applyFill="1" applyAlignment="1">
      <alignment horizontal="center"/>
    </xf>
    <xf numFmtId="0" fontId="0" fillId="0" borderId="0" xfId="0" applyAlignment="1">
      <alignment horizontal="center" vertical="center" wrapText="1"/>
    </xf>
    <xf numFmtId="0" fontId="0" fillId="0" borderId="0" xfId="0" applyAlignment="1">
      <alignment horizontal="center" vertical="center"/>
    </xf>
    <xf numFmtId="0" fontId="20" fillId="0" borderId="0" xfId="1" applyAlignment="1">
      <alignment horizontal="center" vertical="center" wrapText="1"/>
    </xf>
    <xf numFmtId="0" fontId="19" fillId="0" borderId="0" xfId="0" applyFont="1" applyAlignment="1">
      <alignment horizontal="center" vertical="center" wrapText="1"/>
    </xf>
    <xf numFmtId="0" fontId="19" fillId="0" borderId="0" xfId="0" applyFont="1"/>
    <xf numFmtId="0" fontId="18" fillId="0" borderId="0" xfId="0" applyFont="1" applyAlignment="1">
      <alignment horizontal="center" vertical="center" wrapText="1"/>
    </xf>
    <xf numFmtId="0" fontId="17" fillId="0" borderId="0" xfId="0" applyFont="1"/>
    <xf numFmtId="0" fontId="19" fillId="0" borderId="0" xfId="0" applyFont="1" applyAlignment="1">
      <alignment horizontal="center" vertical="center"/>
    </xf>
    <xf numFmtId="0" fontId="17" fillId="0" borderId="0" xfId="0" applyFont="1" applyAlignment="1">
      <alignment horizontal="center" vertical="center" wrapText="1"/>
    </xf>
    <xf numFmtId="0" fontId="17" fillId="0" borderId="0" xfId="0" applyFont="1" applyAlignment="1">
      <alignment horizontal="center"/>
    </xf>
    <xf numFmtId="0" fontId="17" fillId="0" borderId="0" xfId="0" applyFont="1" applyAlignment="1">
      <alignment horizontal="center" vertical="center"/>
    </xf>
    <xf numFmtId="0" fontId="20" fillId="0" borderId="0" xfId="1" applyAlignment="1">
      <alignment horizontal="center" vertical="center"/>
    </xf>
    <xf numFmtId="0" fontId="16" fillId="0" borderId="0" xfId="0" applyFont="1" applyAlignment="1">
      <alignment horizontal="center" vertical="center"/>
    </xf>
    <xf numFmtId="0" fontId="16" fillId="0" borderId="0" xfId="0" applyFont="1" applyAlignment="1">
      <alignment horizontal="center" vertical="center" wrapText="1"/>
    </xf>
    <xf numFmtId="0" fontId="15" fillId="0" borderId="0" xfId="0" applyFont="1" applyAlignment="1">
      <alignment horizontal="center" vertical="center" wrapText="1"/>
    </xf>
    <xf numFmtId="0" fontId="14" fillId="0" borderId="0" xfId="0" applyFont="1"/>
    <xf numFmtId="0" fontId="14" fillId="0" borderId="0" xfId="0" applyFont="1" applyAlignment="1">
      <alignment horizontal="center" vertical="center" wrapText="1"/>
    </xf>
    <xf numFmtId="0" fontId="0" fillId="0" borderId="1" xfId="0" applyBorder="1" applyAlignment="1">
      <alignment horizontal="center"/>
    </xf>
    <xf numFmtId="0" fontId="19" fillId="0" borderId="1" xfId="0" applyFont="1" applyBorder="1" applyAlignment="1">
      <alignment horizontal="center"/>
    </xf>
    <xf numFmtId="0" fontId="14" fillId="0" borderId="1" xfId="0" applyFont="1" applyBorder="1" applyAlignment="1">
      <alignment horizontal="center"/>
    </xf>
    <xf numFmtId="0" fontId="21" fillId="3" borderId="1" xfId="0" applyFont="1" applyFill="1" applyBorder="1" applyAlignment="1">
      <alignment horizontal="center"/>
    </xf>
    <xf numFmtId="0" fontId="14" fillId="0" borderId="0" xfId="0" applyFont="1" applyAlignment="1">
      <alignment horizontal="center" vertical="center"/>
    </xf>
    <xf numFmtId="0" fontId="14" fillId="0" borderId="0" xfId="0" applyFont="1" applyAlignment="1">
      <alignment wrapText="1"/>
    </xf>
    <xf numFmtId="0" fontId="13" fillId="0" borderId="0" xfId="0" applyFont="1" applyAlignment="1">
      <alignment horizontal="center" vertical="center" wrapText="1"/>
    </xf>
    <xf numFmtId="0" fontId="0" fillId="0" borderId="1" xfId="0" applyBorder="1" applyAlignment="1">
      <alignment horizontal="center" wrapText="1"/>
    </xf>
    <xf numFmtId="0" fontId="0" fillId="0" borderId="1" xfId="0" applyBorder="1" applyAlignment="1">
      <alignment horizontal="center" vertical="center" wrapText="1"/>
    </xf>
    <xf numFmtId="0" fontId="22" fillId="0" borderId="0" xfId="0" applyFont="1" applyAlignment="1">
      <alignment horizontal="center"/>
    </xf>
    <xf numFmtId="0" fontId="22" fillId="0" borderId="0" xfId="0" applyFont="1" applyAlignment="1">
      <alignment horizontal="center" wrapText="1"/>
    </xf>
    <xf numFmtId="0" fontId="12" fillId="0" borderId="0" xfId="0" applyFont="1" applyAlignment="1">
      <alignment horizontal="center" vertical="center" wrapText="1"/>
    </xf>
    <xf numFmtId="0" fontId="12" fillId="0" borderId="0" xfId="0" applyFont="1" applyAlignment="1">
      <alignment horizontal="center" vertical="center"/>
    </xf>
    <xf numFmtId="0" fontId="21" fillId="0" borderId="0" xfId="0" applyFont="1" applyAlignment="1">
      <alignment horizontal="center" vertical="center"/>
    </xf>
    <xf numFmtId="0" fontId="22" fillId="0" borderId="0" xfId="0" applyFont="1" applyAlignment="1">
      <alignment horizontal="center" vertical="center" wrapText="1"/>
    </xf>
    <xf numFmtId="0" fontId="23" fillId="0" borderId="0" xfId="0" applyFont="1" applyAlignment="1">
      <alignment horizontal="center" vertical="center" wrapText="1"/>
    </xf>
    <xf numFmtId="0" fontId="24" fillId="0" borderId="0" xfId="2" applyAlignment="1">
      <alignment horizontal="center"/>
    </xf>
    <xf numFmtId="0" fontId="0" fillId="3" borderId="0" xfId="0" applyFill="1" applyAlignment="1">
      <alignment horizontal="center"/>
    </xf>
    <xf numFmtId="0" fontId="11" fillId="0" borderId="0" xfId="0" applyFont="1" applyAlignment="1">
      <alignment horizontal="center"/>
    </xf>
    <xf numFmtId="0" fontId="20" fillId="0" borderId="0" xfId="1"/>
    <xf numFmtId="0" fontId="0" fillId="0" borderId="0" xfId="0" applyAlignment="1">
      <alignment horizontal="left" vertical="center" indent="1"/>
    </xf>
    <xf numFmtId="0" fontId="20" fillId="0" borderId="0" xfId="1" applyAlignment="1">
      <alignment horizontal="left" vertical="center" indent="1"/>
    </xf>
    <xf numFmtId="0" fontId="25" fillId="0" borderId="0" xfId="0" applyFont="1" applyAlignment="1">
      <alignment vertical="center"/>
    </xf>
    <xf numFmtId="0" fontId="0" fillId="0" borderId="0" xfId="0" applyAlignment="1">
      <alignment vertical="center" wrapText="1"/>
    </xf>
    <xf numFmtId="16" fontId="0" fillId="0" borderId="0" xfId="0" applyNumberFormat="1" applyAlignment="1">
      <alignment vertical="center" wrapText="1"/>
    </xf>
    <xf numFmtId="10" fontId="0" fillId="0" borderId="0" xfId="0" applyNumberFormat="1" applyAlignment="1">
      <alignment vertical="center" wrapText="1"/>
    </xf>
    <xf numFmtId="0" fontId="26" fillId="0" borderId="0" xfId="0" applyFont="1" applyAlignment="1">
      <alignment vertical="center" wrapText="1"/>
    </xf>
    <xf numFmtId="10" fontId="26" fillId="0" borderId="0" xfId="0" applyNumberFormat="1" applyFont="1" applyAlignment="1">
      <alignment vertical="center" wrapText="1"/>
    </xf>
    <xf numFmtId="0" fontId="29" fillId="5" borderId="2" xfId="0" applyFont="1" applyFill="1" applyBorder="1" applyAlignment="1">
      <alignment horizontal="center" vertical="center" wrapText="1"/>
    </xf>
    <xf numFmtId="0" fontId="31" fillId="7" borderId="2" xfId="0" applyFont="1" applyFill="1" applyBorder="1"/>
    <xf numFmtId="0" fontId="31" fillId="7" borderId="2" xfId="0" applyFont="1" applyFill="1" applyBorder="1" applyAlignment="1">
      <alignment horizontal="center"/>
    </xf>
    <xf numFmtId="0" fontId="31" fillId="8" borderId="2" xfId="0" applyFont="1" applyFill="1" applyBorder="1"/>
    <xf numFmtId="0" fontId="31" fillId="8" borderId="2" xfId="0" applyFont="1" applyFill="1" applyBorder="1" applyAlignment="1">
      <alignment horizontal="center"/>
    </xf>
    <xf numFmtId="0" fontId="31" fillId="9" borderId="2" xfId="0" applyFont="1" applyFill="1" applyBorder="1"/>
    <xf numFmtId="0" fontId="31" fillId="9" borderId="2" xfId="0" applyFont="1" applyFill="1" applyBorder="1" applyAlignment="1">
      <alignment horizontal="center"/>
    </xf>
    <xf numFmtId="0" fontId="30" fillId="6" borderId="2" xfId="0" applyFont="1" applyFill="1" applyBorder="1" applyAlignment="1">
      <alignment horizontal="center" vertical="center" wrapText="1"/>
    </xf>
    <xf numFmtId="0" fontId="31" fillId="11" borderId="2" xfId="0" applyFont="1" applyFill="1" applyBorder="1"/>
    <xf numFmtId="0" fontId="31" fillId="11" borderId="2" xfId="0" applyFont="1" applyFill="1" applyBorder="1" applyAlignment="1">
      <alignment horizontal="center"/>
    </xf>
    <xf numFmtId="0" fontId="31" fillId="10" borderId="2" xfId="0" applyFont="1" applyFill="1" applyBorder="1"/>
    <xf numFmtId="0" fontId="31" fillId="10" borderId="2" xfId="0" applyFont="1" applyFill="1" applyBorder="1" applyAlignment="1">
      <alignment horizontal="center"/>
    </xf>
    <xf numFmtId="0" fontId="31" fillId="12" borderId="2" xfId="0" applyFont="1" applyFill="1" applyBorder="1"/>
    <xf numFmtId="0" fontId="31" fillId="12" borderId="2" xfId="0" applyFont="1" applyFill="1" applyBorder="1" applyAlignment="1">
      <alignment horizontal="center"/>
    </xf>
    <xf numFmtId="0" fontId="0" fillId="12" borderId="0" xfId="0" applyFill="1"/>
    <xf numFmtId="0" fontId="10" fillId="0" borderId="0" xfId="0" applyFont="1" applyAlignment="1">
      <alignment horizontal="center" vertical="center" wrapText="1"/>
    </xf>
    <xf numFmtId="0" fontId="0" fillId="13" borderId="3" xfId="0" applyFill="1" applyBorder="1" applyAlignment="1">
      <alignment horizontal="center"/>
    </xf>
    <xf numFmtId="0" fontId="23" fillId="0" borderId="3" xfId="0" applyFont="1" applyBorder="1" applyAlignment="1">
      <alignment horizontal="center" vertical="center" wrapText="1"/>
    </xf>
    <xf numFmtId="0" fontId="0" fillId="0" borderId="3" xfId="0" applyBorder="1" applyAlignment="1">
      <alignment horizontal="center"/>
    </xf>
    <xf numFmtId="0" fontId="0" fillId="0" borderId="3" xfId="0" applyBorder="1"/>
    <xf numFmtId="0" fontId="10" fillId="13" borderId="3" xfId="0" applyFont="1" applyFill="1" applyBorder="1" applyAlignment="1">
      <alignment horizontal="center"/>
    </xf>
    <xf numFmtId="0" fontId="10" fillId="0" borderId="3" xfId="0" applyFont="1" applyBorder="1" applyAlignment="1">
      <alignment horizontal="center"/>
    </xf>
    <xf numFmtId="0" fontId="12" fillId="3" borderId="0" xfId="0" applyFont="1" applyFill="1" applyAlignment="1">
      <alignment horizontal="center"/>
    </xf>
    <xf numFmtId="0" fontId="20" fillId="0" borderId="0" xfId="1" applyAlignment="1">
      <alignment horizontal="center" wrapText="1"/>
    </xf>
    <xf numFmtId="0" fontId="9" fillId="13" borderId="3" xfId="0" applyFont="1" applyFill="1" applyBorder="1" applyAlignment="1">
      <alignment horizontal="center"/>
    </xf>
    <xf numFmtId="0" fontId="0" fillId="13" borderId="4" xfId="0" applyFill="1" applyBorder="1" applyAlignment="1">
      <alignment horizontal="center"/>
    </xf>
    <xf numFmtId="0" fontId="0" fillId="13" borderId="5" xfId="0" applyFill="1" applyBorder="1" applyAlignment="1">
      <alignment horizontal="center"/>
    </xf>
    <xf numFmtId="0" fontId="0" fillId="0" borderId="6" xfId="0" applyBorder="1"/>
    <xf numFmtId="0" fontId="8" fillId="13" borderId="3" xfId="0" applyFont="1" applyFill="1" applyBorder="1" applyAlignment="1">
      <alignment horizontal="center"/>
    </xf>
    <xf numFmtId="0" fontId="0" fillId="13" borderId="0" xfId="0" applyFill="1" applyAlignment="1">
      <alignment horizontal="center"/>
    </xf>
    <xf numFmtId="0" fontId="0" fillId="0" borderId="0" xfId="0" applyAlignment="1">
      <alignment horizontal="center" wrapText="1"/>
    </xf>
    <xf numFmtId="0" fontId="7" fillId="0" borderId="0" xfId="0" applyFont="1" applyAlignment="1">
      <alignment horizontal="center" vertical="center" wrapText="1"/>
    </xf>
    <xf numFmtId="0" fontId="6" fillId="0" borderId="0" xfId="0" applyFont="1" applyAlignment="1">
      <alignment vertical="center" wrapText="1"/>
    </xf>
    <xf numFmtId="0" fontId="0" fillId="0" borderId="0" xfId="0" applyAlignment="1">
      <alignment vertical="center"/>
    </xf>
    <xf numFmtId="0" fontId="33" fillId="0" borderId="0" xfId="0" applyFont="1" applyAlignment="1">
      <alignment vertical="center"/>
    </xf>
    <xf numFmtId="0" fontId="0" fillId="13" borderId="7" xfId="0" applyFill="1" applyBorder="1" applyAlignment="1">
      <alignment horizontal="center"/>
    </xf>
    <xf numFmtId="0" fontId="5" fillId="13" borderId="3" xfId="0" applyFont="1" applyFill="1" applyBorder="1" applyAlignment="1">
      <alignment horizontal="center"/>
    </xf>
    <xf numFmtId="0" fontId="4" fillId="13" borderId="3" xfId="0" applyFont="1" applyFill="1" applyBorder="1" applyAlignment="1">
      <alignment horizontal="center"/>
    </xf>
    <xf numFmtId="0" fontId="34" fillId="0" borderId="0" xfId="0" applyFont="1" applyAlignment="1">
      <alignment horizontal="center" vertical="center"/>
    </xf>
    <xf numFmtId="0" fontId="3" fillId="0" borderId="0" xfId="0" applyFont="1"/>
    <xf numFmtId="0" fontId="3" fillId="0" borderId="0" xfId="0" applyFont="1" applyAlignment="1">
      <alignment wrapText="1"/>
    </xf>
    <xf numFmtId="0" fontId="3" fillId="0" borderId="0" xfId="0" applyFont="1" applyAlignment="1">
      <alignment horizontal="center" vertical="center" wrapText="1"/>
    </xf>
    <xf numFmtId="0" fontId="2" fillId="0" borderId="0" xfId="0" applyFont="1"/>
    <xf numFmtId="0" fontId="2" fillId="0" borderId="0" xfId="0" applyFont="1" applyAlignment="1">
      <alignment horizontal="center" vertical="center" wrapText="1"/>
    </xf>
    <xf numFmtId="0" fontId="2" fillId="0" borderId="0" xfId="0" applyFont="1" applyAlignment="1">
      <alignment horizontal="left" vertical="center"/>
    </xf>
    <xf numFmtId="0" fontId="26" fillId="0" borderId="0" xfId="0" applyFont="1" applyAlignment="1">
      <alignment horizontal="center" vertical="center" wrapText="1"/>
    </xf>
    <xf numFmtId="0" fontId="0" fillId="0" borderId="0" xfId="0"/>
    <xf numFmtId="0" fontId="26" fillId="0" borderId="0" xfId="0" applyFont="1" applyAlignment="1">
      <alignment horizontal="center" vertical="center"/>
    </xf>
    <xf numFmtId="0" fontId="27" fillId="0" borderId="0" xfId="0" applyFont="1" applyAlignment="1">
      <alignment horizontal="center" vertical="center" wrapText="1"/>
    </xf>
    <xf numFmtId="0" fontId="32" fillId="0" borderId="0" xfId="0" applyFont="1"/>
    <xf numFmtId="0" fontId="28" fillId="4" borderId="0" xfId="0" applyFont="1" applyFill="1" applyAlignment="1">
      <alignment horizontal="center" vertical="center"/>
    </xf>
    <xf numFmtId="0" fontId="1" fillId="0" borderId="0" xfId="0" applyFont="1"/>
    <xf numFmtId="0" fontId="1" fillId="0" borderId="0" xfId="0" applyFont="1" applyAlignment="1">
      <alignment horizontal="center" vertical="center" wrapText="1"/>
    </xf>
    <xf numFmtId="0" fontId="1" fillId="0" borderId="0" xfId="0" applyFont="1" applyAlignment="1">
      <alignment horizontal="left" vertical="top" wrapText="1"/>
    </xf>
    <xf numFmtId="0" fontId="1" fillId="0" borderId="0" xfId="0" applyFont="1" applyAlignment="1">
      <alignment wrapText="1"/>
    </xf>
    <xf numFmtId="0" fontId="1" fillId="0" borderId="0" xfId="0" applyFont="1" applyAlignment="1">
      <alignment horizontal="center"/>
    </xf>
    <xf numFmtId="0" fontId="1" fillId="13" borderId="3" xfId="0" applyFont="1" applyFill="1" applyBorder="1" applyAlignment="1">
      <alignment horizontal="center"/>
    </xf>
  </cellXfs>
  <cellStyles count="3">
    <cellStyle name="Lien hypertexte" xfId="1" builtinId="8"/>
    <cellStyle name="Normal" xfId="0" builtinId="0"/>
    <cellStyle name="Normal 2" xfId="2" xr:uid="{00000000-0005-0000-0000-000002000000}"/>
  </cellStyles>
  <dxfs count="0"/>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510540</xdr:colOff>
      <xdr:row>2</xdr:row>
      <xdr:rowOff>167640</xdr:rowOff>
    </xdr:to>
    <xdr:pic>
      <xdr:nvPicPr>
        <xdr:cNvPr id="2" name="Image 1" descr="logo SCEI">
          <a:hlinkClick xmlns:r="http://schemas.openxmlformats.org/officeDocument/2006/relationships" r:id=""/>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0"/>
          <a:ext cx="2095500" cy="533400"/>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510540</xdr:colOff>
      <xdr:row>2</xdr:row>
      <xdr:rowOff>167640</xdr:rowOff>
    </xdr:to>
    <xdr:pic>
      <xdr:nvPicPr>
        <xdr:cNvPr id="2" name="Image 1" descr="logo SCEI">
          <a:hlinkClick xmlns:r="http://schemas.openxmlformats.org/officeDocument/2006/relationships" r:id=""/>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0"/>
          <a:ext cx="2095500" cy="533400"/>
        </a:xfrm>
        <a:prstGeom prst="rect">
          <a:avLst/>
        </a:prstGeom>
        <a:noFill/>
        <a:ln>
          <a:prstDash val="solid"/>
        </a:ln>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eekez.github.io/chesnoy-orientation/fiches/ficheAnaisB.pdf" TargetMode="External"/><Relationship Id="rId7" Type="http://schemas.openxmlformats.org/officeDocument/2006/relationships/hyperlink" Target="https://youtu.be/ZHZfCFbO07Q" TargetMode="External"/><Relationship Id="rId2" Type="http://schemas.openxmlformats.org/officeDocument/2006/relationships/hyperlink" Target="https://eekez.github.io/chesnoy-orientation/fiches/ficheAntoineR.pdf" TargetMode="External"/><Relationship Id="rId1" Type="http://schemas.openxmlformats.org/officeDocument/2006/relationships/hyperlink" Target="https://youtube.com/shorts/-Ft-YouRkKg" TargetMode="External"/><Relationship Id="rId6" Type="http://schemas.openxmlformats.org/officeDocument/2006/relationships/hyperlink" Target="https://eekez.github.io/chesnoy-orientation/fiches/ficheLaureenM.pdf" TargetMode="External"/><Relationship Id="rId5" Type="http://schemas.openxmlformats.org/officeDocument/2006/relationships/hyperlink" Target="https://youtu.be/mUE_eBgYsfk" TargetMode="External"/><Relationship Id="rId4" Type="http://schemas.openxmlformats.org/officeDocument/2006/relationships/hyperlink" Target="https://eekez.github.io/chesnoy-orientation/fiches/ficheBenoitL.pdf"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universite-paris-saclay.fr/" TargetMode="External"/><Relationship Id="rId18" Type="http://schemas.openxmlformats.org/officeDocument/2006/relationships/hyperlink" Target="https://www.centralesupelec.fr/" TargetMode="External"/><Relationship Id="rId26" Type="http://schemas.openxmlformats.org/officeDocument/2006/relationships/hyperlink" Target="https://external-content.duckduckgo.com/iu/?u=https%3A%2F%2Ftse4.mm.bing.net%2Fth%2Fid%2FOIP.ldq-w-fF02Yz_80bkSwH6QHaDl%3Fcb%3Ducfimg2%26pid%3DApi%26ucfimg%3D1&amp;f=1&amp;ipt=a9b7affe424d4e5329e479c5db9fd2ea600bc4620035be09da9b5325a2f47c8a&amp;ipo=images" TargetMode="External"/><Relationship Id="rId39" Type="http://schemas.openxmlformats.org/officeDocument/2006/relationships/hyperlink" Target="https://lh3.googleusercontent.com/gps-cs-s/AHRPTWkBmhLT8FoCoqmFXNDUyRYg2IfV4c_sWL8Mih903hj2eQPC0nUb65V7P7_KTM6jZ0XxmRHrkW7AMrSIARAOXRycvHrchBP2beeH4BLdHMbqm9GJ9TsBJ386cIGGZWbef8vcGGo=w1333-h1000-k-no" TargetMode="External"/><Relationship Id="rId21" Type="http://schemas.openxmlformats.org/officeDocument/2006/relationships/hyperlink" Target="https://www.polytech-orleans.fr/" TargetMode="External"/><Relationship Id="rId34" Type="http://schemas.openxmlformats.org/officeDocument/2006/relationships/hyperlink" Target="https://www.espci.psl.eu/fr/" TargetMode="External"/><Relationship Id="rId42" Type="http://schemas.openxmlformats.org/officeDocument/2006/relationships/hyperlink" Target="https://external-content.duckduckgo.com/iu/?u=https%3A%2F%2Fnouveau.univ-brest.fr%2Ffaculte-medecine%2Fsites%2Ffaculte-medecine.www.univ-brest.fr%2Ffiles%2Fstyles%2Fproject_1170x550%2Fpublic%2F2022-05%2Ffacade-faculte-de-medecine.jpeg%3Fitok%3DRXVo-Q_E&amp;f=1&amp;nofb=1&amp;ipt=3d338945ed730cf012320b7654db0cbcac2662df392212fbd515129ab1eb5876&amp;ipo=images" TargetMode="External"/><Relationship Id="rId47" Type="http://schemas.openxmlformats.org/officeDocument/2006/relationships/printerSettings" Target="../printerSettings/printerSettings1.bin"/><Relationship Id="rId7" Type="http://schemas.openxmlformats.org/officeDocument/2006/relationships/hyperlink" Target="https://external-content.duckduckgo.com/iu/?u=https%3A%2F%2Fwww.polytech-reseau.org%2Fwp-content%2Fuploads%2F2021%2F11%2F476554597.jpg&amp;f=1&amp;nofb=1&amp;ipt=3d403dba376a2746fcc521fa3b0af78f4271487c244104dafbf6473c3ad0e536" TargetMode="External"/><Relationship Id="rId2" Type="http://schemas.openxmlformats.org/officeDocument/2006/relationships/hyperlink" Target="https://www.polytech-angers.fr/" TargetMode="External"/><Relationship Id="rId16" Type="http://schemas.openxmlformats.org/officeDocument/2006/relationships/hyperlink" Target="https://www.ens.psl.eu/" TargetMode="External"/><Relationship Id="rId29" Type="http://schemas.openxmlformats.org/officeDocument/2006/relationships/hyperlink" Target="https://www.bordeaux-inp.fr/fr" TargetMode="External"/><Relationship Id="rId1" Type="http://schemas.openxmlformats.org/officeDocument/2006/relationships/hyperlink" Target="https://www.isifc.univ-fcomte.fr/" TargetMode="External"/><Relationship Id="rId6" Type="http://schemas.openxmlformats.org/officeDocument/2006/relationships/hyperlink" Target="https://polytech.univ-cotedazur.fr/" TargetMode="External"/><Relationship Id="rId11" Type="http://schemas.openxmlformats.org/officeDocument/2006/relationships/hyperlink" Target="https://www.univ-rennes.fr/" TargetMode="External"/><Relationship Id="rId24" Type="http://schemas.openxmlformats.org/officeDocument/2006/relationships/hyperlink" Target="https://www.polytechnique.edu/" TargetMode="External"/><Relationship Id="rId32" Type="http://schemas.openxmlformats.org/officeDocument/2006/relationships/hyperlink" Target="https://www.enscm.fr/fr/" TargetMode="External"/><Relationship Id="rId37" Type="http://schemas.openxmlformats.org/officeDocument/2006/relationships/hyperlink" Target="https://ensip.univ-poitiers.fr/formations/" TargetMode="External"/><Relationship Id="rId40" Type="http://schemas.openxmlformats.org/officeDocument/2006/relationships/hyperlink" Target="https://external-content.duckduckgo.com/iu/?u=https%3A%2F%2Fwww.geipi-polytech.org%2Fsites%2Fdefault%2Ffiles%2Fphotos%2Fpolytech-grenoble-presentation2021.jpg&amp;f=1&amp;nofb=1&amp;ipt=73e11ce502837195d5f67da6b1b980322541b1ec275900d23580d55bee332cea" TargetMode="External"/><Relationship Id="rId45" Type="http://schemas.openxmlformats.org/officeDocument/2006/relationships/hyperlink" Target="https://www.univ-tours.fr/formations/licence-sciences-technologies-sante-mention-sciences-de-la-vie-1" TargetMode="External"/><Relationship Id="rId5" Type="http://schemas.openxmlformats.org/officeDocument/2006/relationships/hyperlink" Target="https://external-content.duckduckgo.com/iu/?u=https%3A%2F%2Ftse1.mm.bing.net%2Fth%2Fid%2FOIP.NxtShy9kjVP64Y4Fnjd5lQHaEo%3Fcb%3Ducfimg2%26pid%3DApi%26ucfimg%3D1&amp;f=1&amp;ipt=733c513e8f837036b67ebabf9b05f37b7a571aad949c58f55379c7bb05916272" TargetMode="External"/><Relationship Id="rId15" Type="http://schemas.openxmlformats.org/officeDocument/2006/relationships/hyperlink" Target="https://external-content.duckduckgo.com/iu/?u=https%3A%2F%2Ftse2.mm.bing.net%2Fth%2Fid%2FOIP.Hx0NzigERRVKc_5PO_xLxAHaDt%3Fcb%3Ducfimg2%26pid%3DApi%26ucfimg%3D1&amp;f=1&amp;ipt=c8a27a9dc1fe19e0fec76e3609ef65b89a17f516437afd96ba9565cf8fb671b6&amp;ipo=images" TargetMode="External"/><Relationship Id="rId23" Type="http://schemas.openxmlformats.org/officeDocument/2006/relationships/hyperlink" Target="https://www.groupe-inp.fr/la-prepa-des-inp/ensg-geol-ecole-nationale-superieure-de-geologie" TargetMode="External"/><Relationship Id="rId28" Type="http://schemas.openxmlformats.org/officeDocument/2006/relationships/hyperlink" Target="https://www.centrale-mediterranee.fr/" TargetMode="External"/><Relationship Id="rId36" Type="http://schemas.openxmlformats.org/officeDocument/2006/relationships/hyperlink" Target="https://polytech.univ-nantes.fr/" TargetMode="External"/><Relationship Id="rId10" Type="http://schemas.openxmlformats.org/officeDocument/2006/relationships/hyperlink" Target="https://external-content.duckduckgo.com/iu/?u=https%3A%2F%2Fwww.presse-tribune.fr%2Frep%2Frep_article%2F2019-05-07_173949_PERS_GENERALE_NOV2018_modif.jpg&amp;f=1&amp;nofb=1&amp;ipt=dfca7e872e428d7122a14b6d26aca290744418a188c682a288cffa4e808803bc" TargetMode="External"/><Relationship Id="rId19" Type="http://schemas.openxmlformats.org/officeDocument/2006/relationships/hyperlink" Target="https://www.imt-mines-ales.fr/" TargetMode="External"/><Relationship Id="rId31" Type="http://schemas.openxmlformats.org/officeDocument/2006/relationships/hyperlink" Target="https://www.chimieparistech.psl.eu/" TargetMode="External"/><Relationship Id="rId44" Type="http://schemas.openxmlformats.org/officeDocument/2006/relationships/hyperlink" Target="https://www.univ-brest.fr/departement-biologie/fr" TargetMode="External"/><Relationship Id="rId4" Type="http://schemas.openxmlformats.org/officeDocument/2006/relationships/hyperlink" Target="https://www.insa-strasbourg.fr/fr/" TargetMode="External"/><Relationship Id="rId9" Type="http://schemas.openxmlformats.org/officeDocument/2006/relationships/hyperlink" Target="https://www.univ-tlse3.fr/decouvrir-nos-diplomes/licence-mention-sciences-de-la-vie" TargetMode="External"/><Relationship Id="rId14" Type="http://schemas.openxmlformats.org/officeDocument/2006/relationships/hyperlink" Target="https://www.ens-lyon.fr/" TargetMode="External"/><Relationship Id="rId22" Type="http://schemas.openxmlformats.org/officeDocument/2006/relationships/hyperlink" Target="https://www.eivp-paris.fr/" TargetMode="External"/><Relationship Id="rId27" Type="http://schemas.openxmlformats.org/officeDocument/2006/relationships/hyperlink" Target="https://www.ec-nantes.fr/" TargetMode="External"/><Relationship Id="rId30" Type="http://schemas.openxmlformats.org/officeDocument/2006/relationships/hyperlink" Target="https://external-content.duckduckgo.com/iu/?u=https%3A%2F%2Ftse3.mm.bing.net%2Fth%2Fid%2FOIP.j3JMGLY1VQWFq-iIIpabmAHaE9%3Fcb%3Ducfimg2%26pid%3DApi%26ucfimg%3D1&amp;f=1&amp;ipt=ad950da9deacca2b995626529051fc2c865c0b92f3b878c35fcf9e2a750d3893&amp;ipo=images" TargetMode="External"/><Relationship Id="rId35" Type="http://schemas.openxmlformats.org/officeDocument/2006/relationships/hyperlink" Target="https://ensic.univ-lorraine.fr/fr" TargetMode="External"/><Relationship Id="rId43" Type="http://schemas.openxmlformats.org/officeDocument/2006/relationships/hyperlink" Target="https://external-content.duckduckgo.com/iu/?u=https%3A%2F%2Farc-anglerfish-eu-central-1-prod-leparisien.s3.amazonaws.com%2Fpublic%2FULPQENXTQ54RN2FIFK2436SAWE.jpg&amp;f=1&amp;nofb=1&amp;ipt=3e392f36bbf1e7e7251fe0dc52d90c688fbd85b7f87eb2cdb6d296aea4dd3510&amp;ipo=images" TargetMode="External"/><Relationship Id="rId8" Type="http://schemas.openxmlformats.org/officeDocument/2006/relationships/hyperlink" Target="https://esbs.unistra.fr/" TargetMode="External"/><Relationship Id="rId3" Type="http://schemas.openxmlformats.org/officeDocument/2006/relationships/hyperlink" Target="https://external-content.duckduckgo.com/iu/?u=https%3A%2F%2Fmedia.lesechos.com%2Fapi%2Fv1%2Fimages%2Fview%2F65281245cf64d06b960dd200%2F1280x720%2F0902741976329-web-tete.jpg&amp;f=1&amp;nofb=1&amp;ipt=caacb499cf8cb913b77c575be00b2f781f1349152342f0be56bcce5a897d63c7" TargetMode="External"/><Relationship Id="rId12" Type="http://schemas.openxmlformats.org/officeDocument/2006/relationships/hyperlink" Target="https://www.univ-rennes.fr/?utm_source=chatgpt.com" TargetMode="External"/><Relationship Id="rId17" Type="http://schemas.openxmlformats.org/officeDocument/2006/relationships/hyperlink" Target="https://external-content.duckduckgo.com/iu/?u=https%3A%2F%2Ftse4.mm.bing.net%2Fth%2Fid%2FOIP.KkGqSGrQkvRhRqaGsxlYvAHaEK%3Fcb%3Ducfimg2%26pid%3DApi%26ucfimg%3D1&amp;f=1&amp;ipt=448562bcec33bf84bc564881daf57696e15f3ebf054b4b473471cc5e738f4500&amp;ipo=images" TargetMode="External"/><Relationship Id="rId25" Type="http://schemas.openxmlformats.org/officeDocument/2006/relationships/hyperlink" Target="https://www.ec-lyon.fr/" TargetMode="External"/><Relationship Id="rId33" Type="http://schemas.openxmlformats.org/officeDocument/2006/relationships/hyperlink" Target="https://external-content.duckduckgo.com/iu/?u=https%3A%2F%2Ftse2.mm.bing.net%2Fth%2Fid%2FOIP.zHVX5rayT8KQu2zJcihGmQHaDk%3Fcb%3Ducfimg2%26pid%3DApi%26ucfimg%3D1&amp;f=1&amp;ipt=4e180ed24a43991cb3c281284b12aa96db1d8db4ea0c1350a43c88bb69d2d2f1&amp;ipo=images" TargetMode="External"/><Relationship Id="rId38" Type="http://schemas.openxmlformats.org/officeDocument/2006/relationships/hyperlink" Target="https://enstbb.bordeaux-inp.fr/fr" TargetMode="External"/><Relationship Id="rId46" Type="http://schemas.openxmlformats.org/officeDocument/2006/relationships/hyperlink" Target="https://external-content.duckduckgo.com/iu/?u=https%3A%2F%2Ftse2.mm.bing.net%2Fth%2Fid%2FOIP.1l9oHeE2hVPXv_WU7IqVyAHaE8%3Fr%3D0%26pid%3DApi&amp;f=1&amp;ipt=ab108bf42c5ac71dee8135b984c742d9acee3dfdea3157f9f6c5a43ec0bb3fc2&amp;ipo=images" TargetMode="External"/><Relationship Id="rId20" Type="http://schemas.openxmlformats.org/officeDocument/2006/relationships/hyperlink" Target="https://imt-nord-europe.fr/" TargetMode="External"/><Relationship Id="rId41" Type="http://schemas.openxmlformats.org/officeDocument/2006/relationships/hyperlink" Target="https://rouen.unilasalle.fr/"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scei-concours.fr/stat2025/tsi.html" TargetMode="External"/><Relationship Id="rId13" Type="http://schemas.openxmlformats.org/officeDocument/2006/relationships/hyperlink" Target="https://www.scei-concours.fr/stat2025/bcpst.html" TargetMode="External"/><Relationship Id="rId18" Type="http://schemas.openxmlformats.org/officeDocument/2006/relationships/hyperlink" Target="https://www.scei-concours.fr/stat2025/bcpst.html" TargetMode="External"/><Relationship Id="rId3" Type="http://schemas.openxmlformats.org/officeDocument/2006/relationships/hyperlink" Target="https://www.scei-concours.fr/stat2025/mp.html" TargetMode="External"/><Relationship Id="rId21" Type="http://schemas.openxmlformats.org/officeDocument/2006/relationships/drawing" Target="../drawings/drawing1.xml"/><Relationship Id="rId7" Type="http://schemas.openxmlformats.org/officeDocument/2006/relationships/hyperlink" Target="https://www.scei-concours.fr/stat2025/pt.html" TargetMode="External"/><Relationship Id="rId12" Type="http://schemas.openxmlformats.org/officeDocument/2006/relationships/hyperlink" Target="https://www.scei-concours.fr/stat2025/bcpst.html" TargetMode="External"/><Relationship Id="rId17" Type="http://schemas.openxmlformats.org/officeDocument/2006/relationships/hyperlink" Target="https://www.scei-concours.fr/stat2025/bcpst.html" TargetMode="External"/><Relationship Id="rId2" Type="http://schemas.openxmlformats.org/officeDocument/2006/relationships/hyperlink" Target="https://www.scei-concours.fr/stat2025/bcpst.html" TargetMode="External"/><Relationship Id="rId16" Type="http://schemas.openxmlformats.org/officeDocument/2006/relationships/hyperlink" Target="https://www.scei-concours.fr/stat2025/bcpst.html" TargetMode="External"/><Relationship Id="rId20" Type="http://schemas.openxmlformats.org/officeDocument/2006/relationships/hyperlink" Target="https://www.scei-concours.fr/stat2025/bcpst.html" TargetMode="External"/><Relationship Id="rId1" Type="http://schemas.openxmlformats.org/officeDocument/2006/relationships/hyperlink" Target="https://www.scei-concours.fr/stat2025/bcpst.html" TargetMode="External"/><Relationship Id="rId6" Type="http://schemas.openxmlformats.org/officeDocument/2006/relationships/hyperlink" Target="https://www.scei-concours.fr/stat2025/psi.html" TargetMode="External"/><Relationship Id="rId11" Type="http://schemas.openxmlformats.org/officeDocument/2006/relationships/hyperlink" Target="https://www.scei-concours.fr/stat2025/bcpst.html" TargetMode="External"/><Relationship Id="rId5" Type="http://schemas.openxmlformats.org/officeDocument/2006/relationships/hyperlink" Target="https://www.scei-concours.fr/stat2025/pc.html" TargetMode="External"/><Relationship Id="rId15" Type="http://schemas.openxmlformats.org/officeDocument/2006/relationships/hyperlink" Target="https://www.scei-concours.fr/stat2025/bcpst.html" TargetMode="External"/><Relationship Id="rId10" Type="http://schemas.openxmlformats.org/officeDocument/2006/relationships/hyperlink" Target="https://www.scei-concours.fr/stat2025/tpc.html" TargetMode="External"/><Relationship Id="rId19" Type="http://schemas.openxmlformats.org/officeDocument/2006/relationships/hyperlink" Target="https://www.scei-concours.fr/stat2025/bcpst.html" TargetMode="External"/><Relationship Id="rId4" Type="http://schemas.openxmlformats.org/officeDocument/2006/relationships/hyperlink" Target="https://www.scei-concours.fr/stat2025/mpi.html" TargetMode="External"/><Relationship Id="rId9" Type="http://schemas.openxmlformats.org/officeDocument/2006/relationships/hyperlink" Target="https://www.scei-concours.fr/stat2025/tb.html" TargetMode="External"/><Relationship Id="rId14" Type="http://schemas.openxmlformats.org/officeDocument/2006/relationships/hyperlink" Target="https://www.scei-concours.fr/stat2025/bcpst.html"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scei-concours.fr/stat2025/tsi.html" TargetMode="External"/><Relationship Id="rId13" Type="http://schemas.openxmlformats.org/officeDocument/2006/relationships/hyperlink" Target="https://www.scei-concours.fr/stat2025/tb.html" TargetMode="External"/><Relationship Id="rId3" Type="http://schemas.openxmlformats.org/officeDocument/2006/relationships/hyperlink" Target="https://www.scei-concours.fr/stat2025/mp.html" TargetMode="External"/><Relationship Id="rId7" Type="http://schemas.openxmlformats.org/officeDocument/2006/relationships/hyperlink" Target="https://www.scei-concours.fr/stat2025/pt.html" TargetMode="External"/><Relationship Id="rId12" Type="http://schemas.openxmlformats.org/officeDocument/2006/relationships/hyperlink" Target="https://www.scei-concours.fr/stat2025/tb.html" TargetMode="External"/><Relationship Id="rId17" Type="http://schemas.openxmlformats.org/officeDocument/2006/relationships/drawing" Target="../drawings/drawing2.xml"/><Relationship Id="rId2" Type="http://schemas.openxmlformats.org/officeDocument/2006/relationships/hyperlink" Target="https://www.scei-concours.fr/stat2025/bcpst.html" TargetMode="External"/><Relationship Id="rId16" Type="http://schemas.openxmlformats.org/officeDocument/2006/relationships/hyperlink" Target="https://www.scei-concours.fr/stat2025/tb.html" TargetMode="External"/><Relationship Id="rId1" Type="http://schemas.openxmlformats.org/officeDocument/2006/relationships/hyperlink" Target="https://www.scei-concours.fr/stat2025/tb.html" TargetMode="External"/><Relationship Id="rId6" Type="http://schemas.openxmlformats.org/officeDocument/2006/relationships/hyperlink" Target="https://www.scei-concours.fr/stat2025/psi.html" TargetMode="External"/><Relationship Id="rId11" Type="http://schemas.openxmlformats.org/officeDocument/2006/relationships/hyperlink" Target="https://www.scei-concours.fr/stat2025/tb.html" TargetMode="External"/><Relationship Id="rId5" Type="http://schemas.openxmlformats.org/officeDocument/2006/relationships/hyperlink" Target="https://www.scei-concours.fr/stat2025/pc.html" TargetMode="External"/><Relationship Id="rId15" Type="http://schemas.openxmlformats.org/officeDocument/2006/relationships/hyperlink" Target="https://www.scei-concours.fr/stat2025/tb.html" TargetMode="External"/><Relationship Id="rId10" Type="http://schemas.openxmlformats.org/officeDocument/2006/relationships/hyperlink" Target="https://www.scei-concours.fr/stat2025/tpc.html" TargetMode="External"/><Relationship Id="rId4" Type="http://schemas.openxmlformats.org/officeDocument/2006/relationships/hyperlink" Target="https://www.scei-concours.fr/stat2025/mpi.html" TargetMode="External"/><Relationship Id="rId9" Type="http://schemas.openxmlformats.org/officeDocument/2006/relationships/hyperlink" Target="https://www.scei-concours.fr/stat2025/tb.html" TargetMode="External"/><Relationship Id="rId14" Type="http://schemas.openxmlformats.org/officeDocument/2006/relationships/hyperlink" Target="https://www.scei-concours.fr/stat2025/tb.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3"/>
  <sheetViews>
    <sheetView workbookViewId="0">
      <selection activeCell="H14" sqref="H14"/>
    </sheetView>
  </sheetViews>
  <sheetFormatPr baseColWidth="10" defaultRowHeight="15" x14ac:dyDescent="0.25"/>
  <cols>
    <col min="1" max="1" width="27.42578125" customWidth="1"/>
    <col min="2" max="2" width="14.28515625" customWidth="1"/>
    <col min="3" max="3" width="17" customWidth="1"/>
    <col min="4" max="4" width="8.5703125" customWidth="1"/>
    <col min="5" max="5" width="9" customWidth="1"/>
    <col min="6" max="6" width="44.85546875" customWidth="1"/>
    <col min="7" max="7" width="18" customWidth="1"/>
    <col min="8" max="8" width="28" customWidth="1"/>
    <col min="9" max="9" width="21.42578125" customWidth="1"/>
  </cols>
  <sheetData>
    <row r="1" spans="1:9" x14ac:dyDescent="0.25">
      <c r="A1" s="70" t="s">
        <v>74</v>
      </c>
      <c r="B1" s="37" t="s">
        <v>75</v>
      </c>
      <c r="C1" s="2" t="s">
        <v>76</v>
      </c>
      <c r="D1" s="2" t="s">
        <v>77</v>
      </c>
      <c r="E1" s="2" t="s">
        <v>78</v>
      </c>
      <c r="F1" s="2" t="s">
        <v>79</v>
      </c>
      <c r="G1" s="2" t="s">
        <v>80</v>
      </c>
      <c r="H1" s="2" t="s">
        <v>81</v>
      </c>
      <c r="I1" s="2" t="s">
        <v>82</v>
      </c>
    </row>
    <row r="2" spans="1:9" x14ac:dyDescent="0.25">
      <c r="A2" s="104" t="s">
        <v>1199</v>
      </c>
      <c r="B2" s="64" t="str">
        <f t="shared" ref="B2" si="0">LEFT(A2)</f>
        <v>P</v>
      </c>
      <c r="C2" s="104" t="s">
        <v>1081</v>
      </c>
      <c r="D2" s="64">
        <v>2026</v>
      </c>
      <c r="E2" s="64" t="s">
        <v>1</v>
      </c>
      <c r="F2" s="104" t="s">
        <v>1200</v>
      </c>
      <c r="G2" s="65"/>
      <c r="H2" s="2"/>
      <c r="I2" s="2"/>
    </row>
    <row r="3" spans="1:9" x14ac:dyDescent="0.25">
      <c r="A3" s="104" t="s">
        <v>1197</v>
      </c>
      <c r="B3" s="64" t="str">
        <f t="shared" ref="B3" si="1">LEFT(A3)</f>
        <v>O</v>
      </c>
      <c r="C3" s="104" t="s">
        <v>1198</v>
      </c>
      <c r="D3" s="64">
        <v>2026</v>
      </c>
      <c r="E3" s="64" t="s">
        <v>1</v>
      </c>
      <c r="F3" s="104" t="s">
        <v>94</v>
      </c>
      <c r="G3" s="65"/>
      <c r="H3" s="2"/>
      <c r="I3" s="2"/>
    </row>
    <row r="4" spans="1:9" x14ac:dyDescent="0.25">
      <c r="A4" s="85" t="s">
        <v>1022</v>
      </c>
      <c r="B4" s="64" t="str">
        <f t="shared" ref="B4" si="2">LEFT(A4)</f>
        <v>T</v>
      </c>
      <c r="C4" s="64" t="s">
        <v>1023</v>
      </c>
      <c r="D4" s="64">
        <v>2026</v>
      </c>
      <c r="E4" s="64" t="s">
        <v>1</v>
      </c>
      <c r="F4" s="64" t="s">
        <v>104</v>
      </c>
      <c r="G4" s="65" t="s">
        <v>182</v>
      </c>
      <c r="H4" s="2"/>
      <c r="I4" s="2"/>
    </row>
    <row r="5" spans="1:9" x14ac:dyDescent="0.25">
      <c r="A5" s="84" t="s">
        <v>1019</v>
      </c>
      <c r="B5" s="64" t="str">
        <f t="shared" ref="B5" si="3">LEFT(A5)</f>
        <v>R</v>
      </c>
      <c r="C5" s="64" t="s">
        <v>220</v>
      </c>
      <c r="D5" s="64">
        <v>2026</v>
      </c>
      <c r="E5" s="64" t="s">
        <v>1</v>
      </c>
      <c r="F5" s="64" t="s">
        <v>115</v>
      </c>
      <c r="G5" s="64"/>
      <c r="H5" s="2"/>
      <c r="I5" s="2"/>
    </row>
    <row r="6" spans="1:9" x14ac:dyDescent="0.25">
      <c r="A6" s="84" t="s">
        <v>973</v>
      </c>
      <c r="B6" s="64" t="str">
        <f t="shared" ref="B6" si="4">LEFT(A6)</f>
        <v>G</v>
      </c>
      <c r="C6" s="64" t="s">
        <v>178</v>
      </c>
      <c r="D6" s="64">
        <v>2026</v>
      </c>
      <c r="E6" s="64" t="s">
        <v>1</v>
      </c>
      <c r="F6" s="64" t="s">
        <v>429</v>
      </c>
      <c r="G6" s="64"/>
      <c r="H6" s="77"/>
      <c r="I6" s="77"/>
    </row>
    <row r="7" spans="1:9" x14ac:dyDescent="0.25">
      <c r="A7" s="76" t="s">
        <v>968</v>
      </c>
      <c r="B7" s="64" t="str">
        <f t="shared" ref="B7" si="5">LEFT(A7)</f>
        <v>G</v>
      </c>
      <c r="C7" s="64" t="s">
        <v>969</v>
      </c>
      <c r="D7" s="64">
        <v>2026</v>
      </c>
      <c r="E7" s="64" t="s">
        <v>1</v>
      </c>
      <c r="F7" s="64" t="s">
        <v>188</v>
      </c>
      <c r="G7" s="64"/>
      <c r="H7" s="77"/>
      <c r="I7" s="77"/>
    </row>
    <row r="8" spans="1:9" x14ac:dyDescent="0.25">
      <c r="A8" s="72" t="s">
        <v>966</v>
      </c>
      <c r="B8" s="64" t="str">
        <f t="shared" ref="B8" si="6">LEFT(A8)</f>
        <v>S</v>
      </c>
      <c r="C8" s="64" t="s">
        <v>967</v>
      </c>
      <c r="D8" s="64">
        <v>2026</v>
      </c>
      <c r="E8" s="64" t="s">
        <v>1</v>
      </c>
      <c r="F8" s="64" t="s">
        <v>104</v>
      </c>
      <c r="G8" s="65" t="s">
        <v>182</v>
      </c>
      <c r="H8" s="64"/>
      <c r="I8" s="64"/>
    </row>
    <row r="9" spans="1:9" x14ac:dyDescent="0.25">
      <c r="A9" s="72" t="s">
        <v>347</v>
      </c>
      <c r="B9" s="64" t="str">
        <f t="shared" ref="B9" si="7">LEFT(A9)</f>
        <v>T</v>
      </c>
      <c r="C9" s="64" t="s">
        <v>965</v>
      </c>
      <c r="D9" s="64">
        <v>2026</v>
      </c>
      <c r="E9" s="64" t="s">
        <v>1</v>
      </c>
      <c r="F9" s="73" t="s">
        <v>253</v>
      </c>
      <c r="G9" s="64"/>
      <c r="H9" s="64"/>
      <c r="I9" s="64"/>
    </row>
    <row r="10" spans="1:9" x14ac:dyDescent="0.25">
      <c r="A10" s="68" t="s">
        <v>958</v>
      </c>
      <c r="B10" s="64" t="str">
        <f t="shared" ref="B10" si="8">LEFT(A10)</f>
        <v>B</v>
      </c>
      <c r="C10" s="64" t="s">
        <v>172</v>
      </c>
      <c r="D10" s="64">
        <v>2026</v>
      </c>
      <c r="E10" s="64" t="s">
        <v>1</v>
      </c>
      <c r="F10" s="64" t="s">
        <v>112</v>
      </c>
      <c r="G10" s="74"/>
      <c r="H10" s="74"/>
      <c r="I10" s="74"/>
    </row>
    <row r="11" spans="1:9" x14ac:dyDescent="0.25">
      <c r="A11" s="68" t="s">
        <v>956</v>
      </c>
      <c r="B11" s="64" t="str">
        <f t="shared" ref="B11" si="9">LEFT(A11)</f>
        <v>B</v>
      </c>
      <c r="C11" s="64" t="s">
        <v>957</v>
      </c>
      <c r="D11" s="64">
        <v>2026</v>
      </c>
      <c r="E11" s="64" t="s">
        <v>1</v>
      </c>
      <c r="F11" s="64" t="s">
        <v>188</v>
      </c>
      <c r="G11" s="64"/>
      <c r="H11" s="64"/>
      <c r="I11" s="64"/>
    </row>
    <row r="12" spans="1:9" x14ac:dyDescent="0.25">
      <c r="A12" s="68" t="s">
        <v>950</v>
      </c>
      <c r="B12" s="64" t="str">
        <f t="shared" ref="B12" si="10">LEFT(A12)</f>
        <v>K</v>
      </c>
      <c r="C12" s="64" t="s">
        <v>951</v>
      </c>
      <c r="D12" s="64">
        <v>2026</v>
      </c>
      <c r="E12" s="64" t="s">
        <v>1</v>
      </c>
      <c r="F12" s="64" t="s">
        <v>952</v>
      </c>
      <c r="G12" s="64"/>
      <c r="H12" s="64"/>
      <c r="I12" s="64"/>
    </row>
    <row r="13" spans="1:9" x14ac:dyDescent="0.25">
      <c r="A13" s="68" t="s">
        <v>948</v>
      </c>
      <c r="B13" s="64" t="str">
        <f t="shared" ref="B13" si="11">LEFT(A13)</f>
        <v>C</v>
      </c>
      <c r="C13" s="64" t="s">
        <v>949</v>
      </c>
      <c r="D13" s="64">
        <v>2026</v>
      </c>
      <c r="E13" s="64" t="s">
        <v>1</v>
      </c>
      <c r="F13" s="64" t="s">
        <v>136</v>
      </c>
      <c r="G13" s="64"/>
      <c r="H13" s="64"/>
      <c r="I13" s="64"/>
    </row>
    <row r="14" spans="1:9" x14ac:dyDescent="0.25">
      <c r="A14" s="68" t="s">
        <v>946</v>
      </c>
      <c r="B14" s="64" t="str">
        <f t="shared" ref="B14:B78" si="12">LEFT(A14)</f>
        <v>V</v>
      </c>
      <c r="C14" s="64" t="s">
        <v>947</v>
      </c>
      <c r="D14" s="64">
        <v>2026</v>
      </c>
      <c r="E14" s="64" t="s">
        <v>1</v>
      </c>
      <c r="F14" s="64" t="s">
        <v>104</v>
      </c>
      <c r="G14" s="65" t="s">
        <v>182</v>
      </c>
      <c r="H14" s="64"/>
      <c r="I14" s="64"/>
    </row>
    <row r="15" spans="1:9" x14ac:dyDescent="0.25">
      <c r="A15" s="69" t="s">
        <v>944</v>
      </c>
      <c r="B15" s="66" t="str">
        <f t="shared" si="12"/>
        <v>H</v>
      </c>
      <c r="C15" s="64" t="s">
        <v>945</v>
      </c>
      <c r="D15" s="64">
        <v>2026</v>
      </c>
      <c r="E15" s="64" t="s">
        <v>1</v>
      </c>
      <c r="F15" s="64" t="s">
        <v>459</v>
      </c>
      <c r="G15" s="64"/>
      <c r="H15" s="64"/>
      <c r="I15" s="64"/>
    </row>
    <row r="16" spans="1:9" x14ac:dyDescent="0.25">
      <c r="A16" s="66" t="s">
        <v>83</v>
      </c>
      <c r="B16" s="66" t="str">
        <f t="shared" si="12"/>
        <v>A</v>
      </c>
      <c r="C16" s="66" t="s">
        <v>84</v>
      </c>
      <c r="D16" s="66">
        <v>2025</v>
      </c>
      <c r="E16" s="66" t="s">
        <v>1</v>
      </c>
      <c r="F16" s="66" t="s">
        <v>85</v>
      </c>
      <c r="G16" s="66"/>
      <c r="H16" s="67"/>
      <c r="I16" s="67"/>
    </row>
    <row r="17" spans="1:8" x14ac:dyDescent="0.25">
      <c r="A17" s="1" t="s">
        <v>86</v>
      </c>
      <c r="B17" s="1" t="str">
        <f t="shared" si="12"/>
        <v>A</v>
      </c>
      <c r="C17" s="1" t="s">
        <v>87</v>
      </c>
      <c r="D17" s="1">
        <v>2025</v>
      </c>
      <c r="E17" s="1" t="s">
        <v>1</v>
      </c>
      <c r="F17" s="1" t="s">
        <v>88</v>
      </c>
      <c r="G17" s="1"/>
      <c r="H17" s="75"/>
    </row>
    <row r="18" spans="1:8" x14ac:dyDescent="0.25">
      <c r="A18" s="1" t="s">
        <v>89</v>
      </c>
      <c r="B18" s="1" t="str">
        <f t="shared" si="12"/>
        <v>B</v>
      </c>
      <c r="C18" s="1" t="s">
        <v>90</v>
      </c>
      <c r="D18" s="1">
        <v>2025</v>
      </c>
      <c r="E18" s="1" t="s">
        <v>1</v>
      </c>
      <c r="F18" s="1" t="s">
        <v>91</v>
      </c>
      <c r="G18" s="1"/>
    </row>
    <row r="19" spans="1:8" x14ac:dyDescent="0.25">
      <c r="A19" s="1" t="s">
        <v>92</v>
      </c>
      <c r="B19" s="1" t="str">
        <f t="shared" si="12"/>
        <v>C</v>
      </c>
      <c r="C19" s="1" t="s">
        <v>93</v>
      </c>
      <c r="D19" s="1">
        <v>2025</v>
      </c>
      <c r="E19" s="1" t="s">
        <v>1</v>
      </c>
      <c r="F19" s="1" t="s">
        <v>94</v>
      </c>
      <c r="G19" s="1"/>
    </row>
    <row r="20" spans="1:8" x14ac:dyDescent="0.25">
      <c r="A20" s="1" t="s">
        <v>95</v>
      </c>
      <c r="B20" s="1" t="str">
        <f t="shared" si="12"/>
        <v>D</v>
      </c>
      <c r="C20" s="1" t="s">
        <v>96</v>
      </c>
      <c r="D20" s="1">
        <v>2025</v>
      </c>
      <c r="E20" s="1" t="s">
        <v>1</v>
      </c>
      <c r="F20" s="1" t="s">
        <v>37</v>
      </c>
      <c r="G20" s="1"/>
    </row>
    <row r="21" spans="1:8" x14ac:dyDescent="0.25">
      <c r="A21" s="1" t="s">
        <v>97</v>
      </c>
      <c r="B21" s="1" t="str">
        <f t="shared" si="12"/>
        <v>D</v>
      </c>
      <c r="C21" s="1" t="s">
        <v>98</v>
      </c>
      <c r="D21" s="1">
        <v>2025</v>
      </c>
      <c r="E21" s="1" t="s">
        <v>1</v>
      </c>
      <c r="F21" s="1" t="s">
        <v>99</v>
      </c>
      <c r="G21" s="1"/>
    </row>
    <row r="22" spans="1:8" x14ac:dyDescent="0.25">
      <c r="A22" s="36" t="s">
        <v>100</v>
      </c>
      <c r="B22" s="1" t="str">
        <f t="shared" si="12"/>
        <v>F</v>
      </c>
      <c r="C22" s="1" t="s">
        <v>101</v>
      </c>
      <c r="D22" s="1">
        <v>2025</v>
      </c>
      <c r="E22" s="1" t="s">
        <v>1</v>
      </c>
      <c r="F22" s="1" t="s">
        <v>85</v>
      </c>
      <c r="G22" s="1"/>
    </row>
    <row r="23" spans="1:8" x14ac:dyDescent="0.25">
      <c r="A23" s="36" t="s">
        <v>102</v>
      </c>
      <c r="B23" s="1" t="str">
        <f t="shared" si="12"/>
        <v>F</v>
      </c>
      <c r="C23" s="1" t="s">
        <v>103</v>
      </c>
      <c r="D23" s="1">
        <v>2025</v>
      </c>
      <c r="E23" s="1" t="s">
        <v>1</v>
      </c>
      <c r="F23" s="1" t="s">
        <v>104</v>
      </c>
      <c r="G23" s="1"/>
    </row>
    <row r="24" spans="1:8" x14ac:dyDescent="0.25">
      <c r="A24" s="36" t="s">
        <v>105</v>
      </c>
      <c r="B24" s="1" t="str">
        <f t="shared" si="12"/>
        <v>G</v>
      </c>
      <c r="C24" s="1" t="s">
        <v>106</v>
      </c>
      <c r="D24" s="1">
        <v>2025</v>
      </c>
      <c r="E24" s="1" t="s">
        <v>1</v>
      </c>
      <c r="F24" s="1" t="s">
        <v>107</v>
      </c>
      <c r="G24" s="1"/>
    </row>
    <row r="25" spans="1:8" x14ac:dyDescent="0.25">
      <c r="A25" s="36" t="s">
        <v>108</v>
      </c>
      <c r="B25" s="1" t="str">
        <f t="shared" si="12"/>
        <v>H</v>
      </c>
      <c r="C25" s="1" t="s">
        <v>109</v>
      </c>
      <c r="D25" s="1">
        <v>2025</v>
      </c>
      <c r="E25" s="1" t="s">
        <v>1</v>
      </c>
      <c r="F25" s="1" t="s">
        <v>104</v>
      </c>
      <c r="G25" s="1"/>
    </row>
    <row r="26" spans="1:8" x14ac:dyDescent="0.25">
      <c r="A26" s="36" t="s">
        <v>110</v>
      </c>
      <c r="B26" s="1" t="str">
        <f t="shared" si="12"/>
        <v>J</v>
      </c>
      <c r="C26" s="1" t="s">
        <v>111</v>
      </c>
      <c r="D26" s="1">
        <v>2025</v>
      </c>
      <c r="E26" s="1" t="s">
        <v>1</v>
      </c>
      <c r="F26" s="1" t="s">
        <v>112</v>
      </c>
      <c r="G26" s="1"/>
    </row>
    <row r="27" spans="1:8" x14ac:dyDescent="0.25">
      <c r="A27" s="36" t="s">
        <v>113</v>
      </c>
      <c r="B27" s="1" t="str">
        <f t="shared" si="12"/>
        <v>L</v>
      </c>
      <c r="C27" s="1" t="s">
        <v>114</v>
      </c>
      <c r="D27" s="1">
        <v>2025</v>
      </c>
      <c r="E27" s="1" t="s">
        <v>1</v>
      </c>
      <c r="F27" s="1" t="s">
        <v>115</v>
      </c>
      <c r="G27" s="1"/>
      <c r="H27" t="s">
        <v>116</v>
      </c>
    </row>
    <row r="28" spans="1:8" x14ac:dyDescent="0.25">
      <c r="A28" s="36" t="s">
        <v>117</v>
      </c>
      <c r="B28" s="1" t="str">
        <f t="shared" si="12"/>
        <v>L</v>
      </c>
      <c r="C28" s="1" t="s">
        <v>118</v>
      </c>
      <c r="D28" s="1">
        <v>2025</v>
      </c>
      <c r="E28" s="1" t="s">
        <v>1</v>
      </c>
      <c r="F28" s="1" t="s">
        <v>119</v>
      </c>
      <c r="G28" s="1"/>
    </row>
    <row r="29" spans="1:8" x14ac:dyDescent="0.25">
      <c r="A29" s="36" t="s">
        <v>120</v>
      </c>
      <c r="B29" s="1" t="str">
        <f t="shared" si="12"/>
        <v>L</v>
      </c>
      <c r="C29" s="1" t="s">
        <v>121</v>
      </c>
      <c r="D29" s="1">
        <v>2025</v>
      </c>
      <c r="E29" s="1" t="s">
        <v>1</v>
      </c>
      <c r="F29" s="1" t="s">
        <v>122</v>
      </c>
      <c r="G29" s="1"/>
    </row>
    <row r="30" spans="1:8" x14ac:dyDescent="0.25">
      <c r="A30" s="36" t="s">
        <v>123</v>
      </c>
      <c r="B30" s="1" t="str">
        <f t="shared" si="12"/>
        <v>M</v>
      </c>
      <c r="C30" s="1" t="s">
        <v>125</v>
      </c>
      <c r="D30" s="1">
        <v>2025</v>
      </c>
      <c r="E30" s="1" t="s">
        <v>1</v>
      </c>
      <c r="F30" s="1" t="s">
        <v>126</v>
      </c>
      <c r="G30" s="1"/>
    </row>
    <row r="31" spans="1:8" x14ac:dyDescent="0.25">
      <c r="A31" s="36" t="s">
        <v>127</v>
      </c>
      <c r="B31" s="1" t="str">
        <f t="shared" si="12"/>
        <v>P</v>
      </c>
      <c r="C31" s="1" t="s">
        <v>128</v>
      </c>
      <c r="D31" s="1">
        <v>2025</v>
      </c>
      <c r="E31" s="1" t="s">
        <v>1</v>
      </c>
      <c r="F31" s="1" t="s">
        <v>129</v>
      </c>
      <c r="G31" s="1"/>
    </row>
    <row r="32" spans="1:8" x14ac:dyDescent="0.25">
      <c r="A32" s="36" t="s">
        <v>130</v>
      </c>
      <c r="B32" s="1" t="str">
        <f t="shared" si="12"/>
        <v>S</v>
      </c>
      <c r="C32" s="1" t="s">
        <v>131</v>
      </c>
      <c r="D32" s="1">
        <v>2025</v>
      </c>
      <c r="E32" s="1" t="s">
        <v>1</v>
      </c>
      <c r="F32" s="1" t="s">
        <v>112</v>
      </c>
      <c r="G32" s="1"/>
    </row>
    <row r="33" spans="1:8" x14ac:dyDescent="0.25">
      <c r="A33" s="36" t="s">
        <v>132</v>
      </c>
      <c r="B33" s="1" t="str">
        <f t="shared" si="12"/>
        <v>V</v>
      </c>
      <c r="C33" s="1" t="s">
        <v>133</v>
      </c>
      <c r="D33" s="1">
        <v>2025</v>
      </c>
      <c r="E33" s="1" t="s">
        <v>1</v>
      </c>
      <c r="F33" s="1" t="s">
        <v>104</v>
      </c>
      <c r="G33" s="1"/>
    </row>
    <row r="34" spans="1:8" x14ac:dyDescent="0.25">
      <c r="A34" s="36" t="s">
        <v>134</v>
      </c>
      <c r="B34" s="1" t="str">
        <f t="shared" si="12"/>
        <v>W</v>
      </c>
      <c r="C34" s="1" t="s">
        <v>135</v>
      </c>
      <c r="D34" s="1">
        <v>2025</v>
      </c>
      <c r="E34" s="1" t="s">
        <v>1</v>
      </c>
      <c r="F34" s="1" t="s">
        <v>136</v>
      </c>
      <c r="G34" s="1"/>
    </row>
    <row r="35" spans="1:8" x14ac:dyDescent="0.25">
      <c r="A35" s="38" t="s">
        <v>137</v>
      </c>
      <c r="B35" s="1" t="str">
        <f t="shared" si="12"/>
        <v>B</v>
      </c>
      <c r="C35" s="1" t="s">
        <v>138</v>
      </c>
      <c r="D35" s="1">
        <v>2024</v>
      </c>
      <c r="E35" s="1" t="s">
        <v>1</v>
      </c>
      <c r="F35" s="1" t="s">
        <v>139</v>
      </c>
      <c r="G35" s="1"/>
    </row>
    <row r="36" spans="1:8" x14ac:dyDescent="0.25">
      <c r="A36" s="38" t="s">
        <v>140</v>
      </c>
      <c r="B36" s="1" t="str">
        <f t="shared" si="12"/>
        <v>B</v>
      </c>
      <c r="C36" s="1" t="s">
        <v>141</v>
      </c>
      <c r="D36" s="1">
        <v>2024</v>
      </c>
      <c r="E36" s="1" t="s">
        <v>1</v>
      </c>
      <c r="F36" s="1" t="s">
        <v>142</v>
      </c>
      <c r="G36" s="1"/>
    </row>
    <row r="37" spans="1:8" x14ac:dyDescent="0.25">
      <c r="A37" s="38" t="s">
        <v>143</v>
      </c>
      <c r="B37" s="1" t="str">
        <f t="shared" si="12"/>
        <v>C</v>
      </c>
      <c r="C37" s="1" t="s">
        <v>144</v>
      </c>
      <c r="D37" s="1">
        <v>2024</v>
      </c>
      <c r="E37" s="1" t="s">
        <v>1</v>
      </c>
      <c r="F37" s="1" t="s">
        <v>145</v>
      </c>
      <c r="G37" s="1"/>
    </row>
    <row r="38" spans="1:8" x14ac:dyDescent="0.25">
      <c r="A38" s="38" t="s">
        <v>146</v>
      </c>
      <c r="B38" s="1" t="str">
        <f t="shared" si="12"/>
        <v>D</v>
      </c>
      <c r="C38" s="1" t="s">
        <v>147</v>
      </c>
      <c r="D38" s="1">
        <v>2024</v>
      </c>
      <c r="E38" s="1" t="s">
        <v>1</v>
      </c>
      <c r="F38" s="1" t="s">
        <v>104</v>
      </c>
      <c r="G38" s="1"/>
    </row>
    <row r="39" spans="1:8" x14ac:dyDescent="0.25">
      <c r="A39" s="38" t="s">
        <v>148</v>
      </c>
      <c r="B39" s="1" t="str">
        <f t="shared" si="12"/>
        <v>D</v>
      </c>
      <c r="C39" s="1" t="s">
        <v>149</v>
      </c>
      <c r="D39" s="1">
        <v>2024</v>
      </c>
      <c r="E39" s="1" t="s">
        <v>1</v>
      </c>
      <c r="F39" s="1" t="s">
        <v>91</v>
      </c>
      <c r="G39" s="1"/>
    </row>
    <row r="40" spans="1:8" x14ac:dyDescent="0.25">
      <c r="A40" s="38" t="s">
        <v>150</v>
      </c>
      <c r="B40" s="1" t="str">
        <f t="shared" si="12"/>
        <v>F</v>
      </c>
      <c r="C40" s="1" t="s">
        <v>101</v>
      </c>
      <c r="D40" s="1">
        <v>2024</v>
      </c>
      <c r="E40" s="1" t="s">
        <v>1</v>
      </c>
      <c r="F40" s="1" t="s">
        <v>104</v>
      </c>
      <c r="G40" s="1"/>
    </row>
    <row r="41" spans="1:8" x14ac:dyDescent="0.25">
      <c r="A41" s="38" t="s">
        <v>151</v>
      </c>
      <c r="B41" s="1" t="str">
        <f t="shared" si="12"/>
        <v>H</v>
      </c>
      <c r="C41" s="1" t="s">
        <v>152</v>
      </c>
      <c r="D41" s="1">
        <v>2024</v>
      </c>
      <c r="E41" s="1" t="s">
        <v>1</v>
      </c>
      <c r="F41" s="1" t="s">
        <v>139</v>
      </c>
      <c r="G41" s="1"/>
    </row>
    <row r="42" spans="1:8" x14ac:dyDescent="0.25">
      <c r="A42" s="38" t="s">
        <v>153</v>
      </c>
      <c r="B42" s="1" t="str">
        <f t="shared" si="12"/>
        <v>H</v>
      </c>
      <c r="C42" s="1" t="s">
        <v>154</v>
      </c>
      <c r="D42" s="1">
        <v>2024</v>
      </c>
      <c r="E42" s="1" t="s">
        <v>1</v>
      </c>
      <c r="F42" s="1" t="s">
        <v>136</v>
      </c>
      <c r="G42" s="1"/>
    </row>
    <row r="43" spans="1:8" x14ac:dyDescent="0.25">
      <c r="A43" s="1"/>
      <c r="B43" s="1" t="str">
        <f t="shared" si="12"/>
        <v/>
      </c>
      <c r="C43" s="1" t="s">
        <v>155</v>
      </c>
      <c r="D43" s="1">
        <v>2024</v>
      </c>
      <c r="E43" s="1" t="s">
        <v>1</v>
      </c>
      <c r="F43" s="1"/>
      <c r="G43" s="1"/>
    </row>
    <row r="44" spans="1:8" x14ac:dyDescent="0.25">
      <c r="A44" s="38" t="s">
        <v>156</v>
      </c>
      <c r="B44" s="1" t="str">
        <f t="shared" si="12"/>
        <v>J</v>
      </c>
      <c r="C44" s="1" t="s">
        <v>157</v>
      </c>
      <c r="D44" s="1">
        <v>2024</v>
      </c>
      <c r="E44" s="1" t="s">
        <v>1</v>
      </c>
      <c r="F44" s="1" t="s">
        <v>94</v>
      </c>
      <c r="G44" s="1"/>
    </row>
    <row r="45" spans="1:8" x14ac:dyDescent="0.25">
      <c r="A45" s="38" t="s">
        <v>158</v>
      </c>
      <c r="B45" s="1" t="str">
        <f t="shared" si="12"/>
        <v>L</v>
      </c>
      <c r="C45" s="1" t="s">
        <v>159</v>
      </c>
      <c r="D45" s="1">
        <v>2024</v>
      </c>
      <c r="E45" s="1" t="s">
        <v>1</v>
      </c>
      <c r="F45" s="1" t="s">
        <v>139</v>
      </c>
      <c r="G45" s="1"/>
    </row>
    <row r="46" spans="1:8" x14ac:dyDescent="0.25">
      <c r="A46" s="38" t="s">
        <v>160</v>
      </c>
      <c r="B46" s="1" t="str">
        <f t="shared" si="12"/>
        <v>N</v>
      </c>
      <c r="C46" s="1" t="s">
        <v>161</v>
      </c>
      <c r="D46" s="1">
        <v>2024</v>
      </c>
      <c r="E46" s="1" t="s">
        <v>1</v>
      </c>
      <c r="F46" s="1" t="s">
        <v>115</v>
      </c>
      <c r="G46" s="1"/>
      <c r="H46" t="s">
        <v>162</v>
      </c>
    </row>
    <row r="47" spans="1:8" x14ac:dyDescent="0.25">
      <c r="A47" s="38" t="s">
        <v>163</v>
      </c>
      <c r="B47" s="1" t="str">
        <f t="shared" si="12"/>
        <v>N</v>
      </c>
      <c r="C47" s="1" t="s">
        <v>164</v>
      </c>
      <c r="D47" s="1">
        <v>2024</v>
      </c>
      <c r="E47" s="1" t="s">
        <v>1</v>
      </c>
      <c r="F47" s="1" t="s">
        <v>115</v>
      </c>
      <c r="G47" s="1"/>
    </row>
    <row r="48" spans="1:8" x14ac:dyDescent="0.25">
      <c r="A48" s="1"/>
      <c r="B48" s="1" t="str">
        <f t="shared" si="12"/>
        <v/>
      </c>
      <c r="C48" s="1" t="s">
        <v>165</v>
      </c>
      <c r="D48" s="1">
        <v>2024</v>
      </c>
      <c r="E48" s="1" t="s">
        <v>1</v>
      </c>
      <c r="F48" s="1" t="s">
        <v>85</v>
      </c>
      <c r="G48" s="1"/>
    </row>
    <row r="49" spans="1:7" x14ac:dyDescent="0.25">
      <c r="A49" s="38" t="s">
        <v>166</v>
      </c>
      <c r="B49" s="1" t="str">
        <f t="shared" si="12"/>
        <v>P</v>
      </c>
      <c r="C49" s="1" t="s">
        <v>164</v>
      </c>
      <c r="D49" s="1">
        <v>2024</v>
      </c>
      <c r="E49" s="1" t="s">
        <v>1</v>
      </c>
      <c r="F49" s="1" t="s">
        <v>85</v>
      </c>
      <c r="G49" s="1"/>
    </row>
    <row r="50" spans="1:7" x14ac:dyDescent="0.25">
      <c r="A50" s="38" t="s">
        <v>167</v>
      </c>
      <c r="B50" s="1" t="str">
        <f t="shared" si="12"/>
        <v>P</v>
      </c>
      <c r="C50" s="1" t="s">
        <v>168</v>
      </c>
      <c r="D50" s="1">
        <v>2024</v>
      </c>
      <c r="E50" s="1" t="s">
        <v>1</v>
      </c>
      <c r="F50" s="1" t="s">
        <v>169</v>
      </c>
      <c r="G50" s="1"/>
    </row>
    <row r="51" spans="1:7" x14ac:dyDescent="0.25">
      <c r="A51" s="38" t="s">
        <v>170</v>
      </c>
      <c r="B51" s="1" t="str">
        <f t="shared" si="12"/>
        <v>R</v>
      </c>
      <c r="C51" s="1" t="s">
        <v>157</v>
      </c>
      <c r="D51" s="1">
        <v>2024</v>
      </c>
      <c r="E51" s="1" t="s">
        <v>1</v>
      </c>
      <c r="F51" s="1" t="s">
        <v>37</v>
      </c>
      <c r="G51" s="1"/>
    </row>
    <row r="52" spans="1:7" x14ac:dyDescent="0.25">
      <c r="A52" s="38" t="s">
        <v>171</v>
      </c>
      <c r="B52" s="1" t="str">
        <f t="shared" si="12"/>
        <v>S</v>
      </c>
      <c r="C52" s="1" t="s">
        <v>172</v>
      </c>
      <c r="D52" s="1">
        <v>2024</v>
      </c>
      <c r="E52" s="1" t="s">
        <v>1</v>
      </c>
      <c r="F52" s="1" t="s">
        <v>115</v>
      </c>
      <c r="G52" s="1"/>
    </row>
    <row r="53" spans="1:7" x14ac:dyDescent="0.25">
      <c r="A53" s="38" t="s">
        <v>173</v>
      </c>
      <c r="B53" s="1" t="str">
        <f t="shared" si="12"/>
        <v>S</v>
      </c>
      <c r="C53" s="1" t="s">
        <v>174</v>
      </c>
      <c r="D53" s="1">
        <v>2024</v>
      </c>
      <c r="E53" s="1" t="s">
        <v>1</v>
      </c>
      <c r="F53" s="1" t="s">
        <v>115</v>
      </c>
      <c r="G53" s="1"/>
    </row>
    <row r="54" spans="1:7" x14ac:dyDescent="0.25">
      <c r="A54" s="38" t="s">
        <v>175</v>
      </c>
      <c r="B54" s="1" t="str">
        <f t="shared" si="12"/>
        <v>T</v>
      </c>
      <c r="C54" s="1" t="s">
        <v>176</v>
      </c>
      <c r="D54" s="1">
        <v>2024</v>
      </c>
      <c r="E54" s="1" t="s">
        <v>1</v>
      </c>
      <c r="F54" s="1" t="s">
        <v>99</v>
      </c>
      <c r="G54" s="1"/>
    </row>
    <row r="55" spans="1:7" x14ac:dyDescent="0.25">
      <c r="A55" s="38" t="s">
        <v>177</v>
      </c>
      <c r="B55" s="1" t="str">
        <f t="shared" si="12"/>
        <v>B</v>
      </c>
      <c r="C55" s="34" t="s">
        <v>178</v>
      </c>
      <c r="D55" s="29">
        <v>2023</v>
      </c>
      <c r="E55" s="29" t="s">
        <v>1</v>
      </c>
      <c r="F55" s="35" t="s">
        <v>139</v>
      </c>
      <c r="G55" s="35"/>
    </row>
    <row r="56" spans="1:7" x14ac:dyDescent="0.25">
      <c r="A56" s="38" t="s">
        <v>179</v>
      </c>
      <c r="B56" s="1" t="str">
        <f t="shared" si="12"/>
        <v>B</v>
      </c>
      <c r="C56" s="34" t="s">
        <v>128</v>
      </c>
      <c r="D56" s="29">
        <v>2023</v>
      </c>
      <c r="E56" s="29" t="s">
        <v>1</v>
      </c>
      <c r="F56" s="35" t="s">
        <v>112</v>
      </c>
      <c r="G56" s="35"/>
    </row>
    <row r="57" spans="1:7" x14ac:dyDescent="0.25">
      <c r="A57" s="38" t="s">
        <v>180</v>
      </c>
      <c r="B57" s="1" t="str">
        <f t="shared" si="12"/>
        <v>C</v>
      </c>
      <c r="C57" s="34" t="s">
        <v>181</v>
      </c>
      <c r="D57" s="29">
        <v>2023</v>
      </c>
      <c r="E57" s="29" t="s">
        <v>1</v>
      </c>
      <c r="F57" s="30" t="s">
        <v>104</v>
      </c>
      <c r="G57" s="35" t="s">
        <v>182</v>
      </c>
    </row>
    <row r="58" spans="1:7" x14ac:dyDescent="0.25">
      <c r="A58" s="1"/>
      <c r="B58" s="1" t="str">
        <f t="shared" si="12"/>
        <v/>
      </c>
      <c r="C58" s="34" t="s">
        <v>183</v>
      </c>
      <c r="D58" s="29">
        <v>2023</v>
      </c>
      <c r="E58" s="29" t="s">
        <v>1</v>
      </c>
      <c r="F58" s="30" t="s">
        <v>104</v>
      </c>
      <c r="G58" s="35" t="s">
        <v>182</v>
      </c>
    </row>
    <row r="59" spans="1:7" x14ac:dyDescent="0.25">
      <c r="A59" s="1"/>
      <c r="B59" s="1" t="str">
        <f t="shared" si="12"/>
        <v/>
      </c>
      <c r="C59" s="34" t="s">
        <v>184</v>
      </c>
      <c r="D59" s="29">
        <v>2023</v>
      </c>
      <c r="E59" s="29" t="s">
        <v>1</v>
      </c>
      <c r="F59" s="30" t="s">
        <v>104</v>
      </c>
      <c r="G59" s="35" t="s">
        <v>182</v>
      </c>
    </row>
    <row r="60" spans="1:7" x14ac:dyDescent="0.25">
      <c r="A60" s="1"/>
      <c r="B60" s="1" t="str">
        <f t="shared" si="12"/>
        <v/>
      </c>
      <c r="C60" s="34" t="s">
        <v>185</v>
      </c>
      <c r="D60" s="29">
        <v>2023</v>
      </c>
      <c r="E60" s="29" t="s">
        <v>1</v>
      </c>
      <c r="F60" s="35" t="s">
        <v>139</v>
      </c>
      <c r="G60" s="35"/>
    </row>
    <row r="61" spans="1:7" x14ac:dyDescent="0.25">
      <c r="A61" s="38" t="s">
        <v>186</v>
      </c>
      <c r="B61" s="1" t="str">
        <f t="shared" si="12"/>
        <v>H</v>
      </c>
      <c r="C61" s="34" t="s">
        <v>187</v>
      </c>
      <c r="D61" s="29">
        <v>2023</v>
      </c>
      <c r="E61" s="29" t="s">
        <v>1</v>
      </c>
      <c r="F61" s="35" t="s">
        <v>188</v>
      </c>
      <c r="G61" s="35"/>
    </row>
    <row r="62" spans="1:7" x14ac:dyDescent="0.25">
      <c r="A62" s="38" t="s">
        <v>189</v>
      </c>
      <c r="B62" s="1" t="str">
        <f t="shared" si="12"/>
        <v>J</v>
      </c>
      <c r="C62" s="34" t="s">
        <v>84</v>
      </c>
      <c r="D62" s="29">
        <v>2023</v>
      </c>
      <c r="E62" s="29" t="s">
        <v>1</v>
      </c>
      <c r="F62" s="35" t="s">
        <v>112</v>
      </c>
      <c r="G62" s="35"/>
    </row>
    <row r="63" spans="1:7" x14ac:dyDescent="0.25">
      <c r="A63" s="38" t="s">
        <v>190</v>
      </c>
      <c r="B63" s="1" t="str">
        <f t="shared" si="12"/>
        <v>K</v>
      </c>
      <c r="C63" s="34" t="s">
        <v>191</v>
      </c>
      <c r="D63" s="29">
        <v>2023</v>
      </c>
      <c r="E63" s="29" t="s">
        <v>1</v>
      </c>
      <c r="F63" s="35" t="s">
        <v>112</v>
      </c>
      <c r="G63" s="35"/>
    </row>
    <row r="64" spans="1:7" x14ac:dyDescent="0.25">
      <c r="A64" s="38" t="s">
        <v>192</v>
      </c>
      <c r="B64" s="1" t="str">
        <f t="shared" si="12"/>
        <v>L</v>
      </c>
      <c r="C64" s="34" t="s">
        <v>193</v>
      </c>
      <c r="D64" s="29">
        <v>2023</v>
      </c>
      <c r="E64" s="29" t="s">
        <v>1</v>
      </c>
      <c r="F64" s="35" t="s">
        <v>194</v>
      </c>
      <c r="G64" s="35"/>
    </row>
    <row r="65" spans="1:7" x14ac:dyDescent="0.25">
      <c r="A65" s="38" t="s">
        <v>195</v>
      </c>
      <c r="B65" s="1" t="str">
        <f t="shared" si="12"/>
        <v>M</v>
      </c>
      <c r="C65" s="34" t="s">
        <v>196</v>
      </c>
      <c r="D65" s="29">
        <v>2023</v>
      </c>
      <c r="E65" s="29" t="s">
        <v>1</v>
      </c>
      <c r="F65" s="35" t="s">
        <v>197</v>
      </c>
      <c r="G65" s="35"/>
    </row>
    <row r="66" spans="1:7" x14ac:dyDescent="0.25">
      <c r="A66" s="38" t="s">
        <v>198</v>
      </c>
      <c r="B66" s="1" t="str">
        <f t="shared" si="12"/>
        <v>M</v>
      </c>
      <c r="C66" s="34" t="s">
        <v>199</v>
      </c>
      <c r="D66" s="29">
        <v>2023</v>
      </c>
      <c r="E66" s="29" t="s">
        <v>1</v>
      </c>
      <c r="F66" s="30" t="s">
        <v>104</v>
      </c>
      <c r="G66" s="35"/>
    </row>
    <row r="67" spans="1:7" x14ac:dyDescent="0.25">
      <c r="A67" s="38" t="s">
        <v>200</v>
      </c>
      <c r="B67" s="1" t="str">
        <f t="shared" si="12"/>
        <v>M</v>
      </c>
      <c r="C67" s="34" t="s">
        <v>201</v>
      </c>
      <c r="D67" s="29">
        <v>2023</v>
      </c>
      <c r="E67" s="29" t="s">
        <v>1</v>
      </c>
      <c r="F67" s="35" t="s">
        <v>112</v>
      </c>
      <c r="G67" s="35"/>
    </row>
    <row r="68" spans="1:7" x14ac:dyDescent="0.25">
      <c r="A68" s="38" t="s">
        <v>202</v>
      </c>
      <c r="B68" s="1" t="str">
        <f t="shared" si="12"/>
        <v>P</v>
      </c>
      <c r="C68" s="34" t="s">
        <v>203</v>
      </c>
      <c r="D68" s="29">
        <v>2023</v>
      </c>
      <c r="E68" s="29" t="s">
        <v>1</v>
      </c>
      <c r="F68" s="30" t="s">
        <v>104</v>
      </c>
      <c r="G68" s="35"/>
    </row>
    <row r="69" spans="1:7" x14ac:dyDescent="0.25">
      <c r="A69" s="38" t="s">
        <v>204</v>
      </c>
      <c r="B69" s="1" t="str">
        <f t="shared" si="12"/>
        <v>T</v>
      </c>
      <c r="C69" s="34" t="s">
        <v>205</v>
      </c>
      <c r="D69" s="29">
        <v>2023</v>
      </c>
      <c r="E69" s="29" t="s">
        <v>1</v>
      </c>
      <c r="F69" s="35" t="s">
        <v>169</v>
      </c>
      <c r="G69" s="35"/>
    </row>
    <row r="70" spans="1:7" x14ac:dyDescent="0.25">
      <c r="A70" s="38" t="s">
        <v>206</v>
      </c>
      <c r="B70" s="1" t="str">
        <f t="shared" si="12"/>
        <v>T</v>
      </c>
      <c r="C70" s="34" t="s">
        <v>207</v>
      </c>
      <c r="D70" s="29">
        <v>2023</v>
      </c>
      <c r="E70" s="29" t="s">
        <v>1</v>
      </c>
      <c r="F70" s="35" t="s">
        <v>85</v>
      </c>
      <c r="G70" s="35"/>
    </row>
    <row r="71" spans="1:7" x14ac:dyDescent="0.25">
      <c r="A71" s="38" t="s">
        <v>208</v>
      </c>
      <c r="B71" s="1" t="str">
        <f t="shared" si="12"/>
        <v>V</v>
      </c>
      <c r="C71" s="34" t="s">
        <v>209</v>
      </c>
      <c r="D71" s="29">
        <v>2023</v>
      </c>
      <c r="E71" s="29" t="s">
        <v>1</v>
      </c>
      <c r="F71" s="30" t="s">
        <v>104</v>
      </c>
      <c r="G71" s="35"/>
    </row>
    <row r="72" spans="1:7" x14ac:dyDescent="0.25">
      <c r="A72" s="38" t="s">
        <v>210</v>
      </c>
      <c r="B72" s="1" t="str">
        <f t="shared" si="12"/>
        <v>A</v>
      </c>
      <c r="C72" s="35" t="s">
        <v>211</v>
      </c>
      <c r="D72" s="29">
        <v>2022</v>
      </c>
      <c r="E72" s="29" t="s">
        <v>1</v>
      </c>
      <c r="F72" s="35" t="s">
        <v>212</v>
      </c>
      <c r="G72" s="35"/>
    </row>
    <row r="73" spans="1:7" x14ac:dyDescent="0.25">
      <c r="A73" s="38" t="s">
        <v>213</v>
      </c>
      <c r="B73" s="1" t="str">
        <f t="shared" si="12"/>
        <v>A</v>
      </c>
      <c r="C73" s="35" t="s">
        <v>214</v>
      </c>
      <c r="D73" s="29">
        <v>2022</v>
      </c>
      <c r="E73" s="29" t="s">
        <v>1</v>
      </c>
      <c r="F73" s="35" t="s">
        <v>188</v>
      </c>
      <c r="G73" s="35"/>
    </row>
    <row r="74" spans="1:7" x14ac:dyDescent="0.25">
      <c r="A74" s="38" t="s">
        <v>215</v>
      </c>
      <c r="B74" s="1" t="str">
        <f t="shared" si="12"/>
        <v>B</v>
      </c>
      <c r="C74" s="35" t="s">
        <v>216</v>
      </c>
      <c r="D74" s="29">
        <v>2022</v>
      </c>
      <c r="E74" s="29" t="s">
        <v>1</v>
      </c>
      <c r="F74" s="35" t="s">
        <v>37</v>
      </c>
      <c r="G74" s="35"/>
    </row>
    <row r="75" spans="1:7" x14ac:dyDescent="0.25">
      <c r="A75" s="38" t="s">
        <v>217</v>
      </c>
      <c r="B75" s="1" t="str">
        <f t="shared" si="12"/>
        <v>C</v>
      </c>
      <c r="C75" s="35" t="s">
        <v>218</v>
      </c>
      <c r="D75" s="29">
        <v>2022</v>
      </c>
      <c r="E75" s="29" t="s">
        <v>1</v>
      </c>
      <c r="F75" s="35" t="s">
        <v>112</v>
      </c>
      <c r="G75" s="35"/>
    </row>
    <row r="76" spans="1:7" x14ac:dyDescent="0.25">
      <c r="A76" s="38" t="s">
        <v>219</v>
      </c>
      <c r="B76" s="1" t="str">
        <f t="shared" si="12"/>
        <v>D</v>
      </c>
      <c r="C76" s="35" t="s">
        <v>220</v>
      </c>
      <c r="D76" s="29">
        <v>2022</v>
      </c>
      <c r="E76" s="29" t="s">
        <v>1</v>
      </c>
      <c r="F76" s="35" t="s">
        <v>122</v>
      </c>
      <c r="G76" s="35"/>
    </row>
    <row r="77" spans="1:7" x14ac:dyDescent="0.25">
      <c r="A77" s="38" t="s">
        <v>221</v>
      </c>
      <c r="B77" s="1" t="str">
        <f t="shared" si="12"/>
        <v>D</v>
      </c>
      <c r="C77" s="35" t="s">
        <v>222</v>
      </c>
      <c r="D77" s="29">
        <v>2022</v>
      </c>
      <c r="E77" s="29" t="s">
        <v>1</v>
      </c>
      <c r="F77" s="35" t="s">
        <v>122</v>
      </c>
      <c r="G77" s="35"/>
    </row>
    <row r="78" spans="1:7" x14ac:dyDescent="0.25">
      <c r="A78" s="38" t="s">
        <v>223</v>
      </c>
      <c r="B78" s="1" t="str">
        <f t="shared" si="12"/>
        <v>G</v>
      </c>
      <c r="C78" s="35" t="s">
        <v>224</v>
      </c>
      <c r="D78" s="29">
        <v>2022</v>
      </c>
      <c r="E78" s="29" t="s">
        <v>1</v>
      </c>
      <c r="F78" s="35" t="s">
        <v>104</v>
      </c>
      <c r="G78" s="35" t="s">
        <v>182</v>
      </c>
    </row>
    <row r="79" spans="1:7" x14ac:dyDescent="0.25">
      <c r="A79" s="38" t="s">
        <v>225</v>
      </c>
      <c r="B79" s="1" t="str">
        <f t="shared" ref="B79:B97" si="13">LEFT(A79)</f>
        <v>G</v>
      </c>
      <c r="C79" s="35" t="s">
        <v>128</v>
      </c>
      <c r="D79" s="29">
        <v>2022</v>
      </c>
      <c r="E79" s="29" t="s">
        <v>1</v>
      </c>
      <c r="F79" s="35" t="s">
        <v>37</v>
      </c>
      <c r="G79" s="29"/>
    </row>
    <row r="80" spans="1:7" x14ac:dyDescent="0.25">
      <c r="A80" s="38" t="s">
        <v>226</v>
      </c>
      <c r="B80" s="1" t="str">
        <f t="shared" si="13"/>
        <v>M</v>
      </c>
      <c r="C80" s="35" t="s">
        <v>227</v>
      </c>
      <c r="D80" s="29">
        <v>2022</v>
      </c>
      <c r="E80" s="29" t="s">
        <v>1</v>
      </c>
      <c r="F80" s="35" t="s">
        <v>104</v>
      </c>
      <c r="G80" s="35" t="s">
        <v>182</v>
      </c>
    </row>
    <row r="81" spans="1:7" x14ac:dyDescent="0.25">
      <c r="A81" s="38" t="s">
        <v>228</v>
      </c>
      <c r="B81" s="1" t="str">
        <f t="shared" si="13"/>
        <v>R</v>
      </c>
      <c r="C81" s="35" t="s">
        <v>229</v>
      </c>
      <c r="D81" s="29">
        <v>2022</v>
      </c>
      <c r="E81" s="29" t="s">
        <v>1</v>
      </c>
      <c r="F81" s="35" t="s">
        <v>122</v>
      </c>
      <c r="G81" s="35"/>
    </row>
    <row r="82" spans="1:7" x14ac:dyDescent="0.25">
      <c r="A82" s="38" t="s">
        <v>230</v>
      </c>
      <c r="B82" s="1" t="str">
        <f t="shared" si="13"/>
        <v>R</v>
      </c>
      <c r="C82" s="35" t="s">
        <v>231</v>
      </c>
      <c r="D82" s="29">
        <v>2022</v>
      </c>
      <c r="E82" s="29" t="s">
        <v>1</v>
      </c>
      <c r="F82" s="35" t="s">
        <v>232</v>
      </c>
      <c r="G82" s="35"/>
    </row>
    <row r="83" spans="1:7" x14ac:dyDescent="0.25">
      <c r="A83" s="38" t="s">
        <v>233</v>
      </c>
      <c r="B83" s="1" t="str">
        <f t="shared" si="13"/>
        <v>V</v>
      </c>
      <c r="C83" s="35" t="s">
        <v>234</v>
      </c>
      <c r="D83" s="29">
        <v>2022</v>
      </c>
      <c r="E83" s="29" t="s">
        <v>1</v>
      </c>
      <c r="F83" s="35" t="s">
        <v>139</v>
      </c>
      <c r="G83" s="35"/>
    </row>
    <row r="84" spans="1:7" x14ac:dyDescent="0.25">
      <c r="A84" s="35" t="s">
        <v>235</v>
      </c>
      <c r="B84" s="1" t="str">
        <f t="shared" si="13"/>
        <v>A</v>
      </c>
      <c r="C84" s="35" t="s">
        <v>236</v>
      </c>
      <c r="D84" s="29">
        <v>2021</v>
      </c>
      <c r="E84" s="29" t="s">
        <v>1</v>
      </c>
      <c r="F84" s="35" t="s">
        <v>126</v>
      </c>
      <c r="G84" s="1"/>
    </row>
    <row r="85" spans="1:7" x14ac:dyDescent="0.25">
      <c r="A85" s="35" t="s">
        <v>237</v>
      </c>
      <c r="B85" s="1" t="str">
        <f t="shared" si="13"/>
        <v>B</v>
      </c>
      <c r="C85" s="35" t="s">
        <v>238</v>
      </c>
      <c r="D85" s="29">
        <v>2021</v>
      </c>
      <c r="E85" s="29" t="s">
        <v>1</v>
      </c>
      <c r="F85" s="35" t="s">
        <v>188</v>
      </c>
      <c r="G85" s="1"/>
    </row>
    <row r="86" spans="1:7" x14ac:dyDescent="0.25">
      <c r="A86" s="35" t="s">
        <v>239</v>
      </c>
      <c r="B86" s="1" t="str">
        <f t="shared" si="13"/>
        <v>B</v>
      </c>
      <c r="C86" s="35" t="s">
        <v>240</v>
      </c>
      <c r="D86" s="29">
        <v>2021</v>
      </c>
      <c r="E86" s="29" t="s">
        <v>1</v>
      </c>
      <c r="F86" s="35" t="s">
        <v>241</v>
      </c>
      <c r="G86" s="1"/>
    </row>
    <row r="87" spans="1:7" x14ac:dyDescent="0.25">
      <c r="A87" s="35" t="s">
        <v>242</v>
      </c>
      <c r="B87" s="1" t="str">
        <f t="shared" si="13"/>
        <v>C</v>
      </c>
      <c r="C87" s="35" t="s">
        <v>243</v>
      </c>
      <c r="D87" s="29">
        <v>2021</v>
      </c>
      <c r="E87" s="29" t="s">
        <v>1</v>
      </c>
      <c r="F87" s="35" t="s">
        <v>122</v>
      </c>
      <c r="G87" s="1"/>
    </row>
    <row r="88" spans="1:7" x14ac:dyDescent="0.25">
      <c r="A88" s="35" t="s">
        <v>244</v>
      </c>
      <c r="B88" s="1" t="str">
        <f t="shared" si="13"/>
        <v>C</v>
      </c>
      <c r="C88" s="35" t="s">
        <v>234</v>
      </c>
      <c r="D88" s="29">
        <v>2021</v>
      </c>
      <c r="E88" s="29" t="s">
        <v>1</v>
      </c>
      <c r="F88" s="35" t="s">
        <v>139</v>
      </c>
      <c r="G88" s="1"/>
    </row>
    <row r="89" spans="1:7" x14ac:dyDescent="0.25">
      <c r="A89" s="35" t="s">
        <v>245</v>
      </c>
      <c r="B89" s="1" t="str">
        <f t="shared" si="13"/>
        <v>C</v>
      </c>
      <c r="C89" s="35" t="s">
        <v>246</v>
      </c>
      <c r="D89" s="29">
        <v>2021</v>
      </c>
      <c r="E89" s="29" t="s">
        <v>1</v>
      </c>
      <c r="F89" s="35" t="s">
        <v>122</v>
      </c>
      <c r="G89" s="1"/>
    </row>
    <row r="90" spans="1:7" x14ac:dyDescent="0.25">
      <c r="A90" s="35" t="s">
        <v>247</v>
      </c>
      <c r="B90" s="1" t="str">
        <f t="shared" si="13"/>
        <v>C</v>
      </c>
      <c r="C90" s="35" t="s">
        <v>248</v>
      </c>
      <c r="D90" s="29">
        <v>2021</v>
      </c>
      <c r="E90" s="29" t="s">
        <v>1</v>
      </c>
      <c r="F90" s="35" t="s">
        <v>139</v>
      </c>
      <c r="G90" s="1"/>
    </row>
    <row r="91" spans="1:7" x14ac:dyDescent="0.25">
      <c r="A91" s="35" t="s">
        <v>249</v>
      </c>
      <c r="B91" s="1" t="str">
        <f t="shared" si="13"/>
        <v>E</v>
      </c>
      <c r="C91" s="35" t="s">
        <v>250</v>
      </c>
      <c r="D91" s="29">
        <v>2021</v>
      </c>
      <c r="E91" s="29" t="s">
        <v>1</v>
      </c>
      <c r="F91" s="35" t="s">
        <v>37</v>
      </c>
      <c r="G91" s="1"/>
    </row>
    <row r="92" spans="1:7" x14ac:dyDescent="0.25">
      <c r="A92" s="35" t="s">
        <v>251</v>
      </c>
      <c r="B92" s="1" t="str">
        <f t="shared" si="13"/>
        <v>G</v>
      </c>
      <c r="C92" s="35" t="s">
        <v>252</v>
      </c>
      <c r="D92" s="29">
        <v>2021</v>
      </c>
      <c r="E92" s="29" t="s">
        <v>1</v>
      </c>
      <c r="F92" s="35" t="s">
        <v>253</v>
      </c>
      <c r="G92" s="1"/>
    </row>
    <row r="93" spans="1:7" x14ac:dyDescent="0.25">
      <c r="A93" s="35" t="s">
        <v>254</v>
      </c>
      <c r="B93" s="1" t="str">
        <f t="shared" si="13"/>
        <v>J</v>
      </c>
      <c r="C93" s="35" t="s">
        <v>255</v>
      </c>
      <c r="D93" s="29">
        <v>2021</v>
      </c>
      <c r="E93" s="29" t="s">
        <v>1</v>
      </c>
      <c r="F93" s="35" t="s">
        <v>104</v>
      </c>
      <c r="G93" s="1"/>
    </row>
    <row r="94" spans="1:7" x14ac:dyDescent="0.25">
      <c r="A94" s="35" t="s">
        <v>256</v>
      </c>
      <c r="B94" s="1" t="str">
        <f t="shared" si="13"/>
        <v>L</v>
      </c>
      <c r="C94" s="35" t="s">
        <v>257</v>
      </c>
      <c r="D94" s="29">
        <v>2021</v>
      </c>
      <c r="E94" s="29" t="s">
        <v>1</v>
      </c>
      <c r="F94" s="35" t="s">
        <v>258</v>
      </c>
      <c r="G94" s="1"/>
    </row>
    <row r="95" spans="1:7" x14ac:dyDescent="0.25">
      <c r="A95" s="35" t="s">
        <v>259</v>
      </c>
      <c r="B95" s="1" t="str">
        <f t="shared" si="13"/>
        <v>M</v>
      </c>
      <c r="C95" s="35" t="s">
        <v>260</v>
      </c>
      <c r="D95" s="29">
        <v>2021</v>
      </c>
      <c r="E95" s="29" t="s">
        <v>1</v>
      </c>
      <c r="F95" s="35" t="s">
        <v>112</v>
      </c>
      <c r="G95" s="1"/>
    </row>
    <row r="96" spans="1:7" x14ac:dyDescent="0.25">
      <c r="A96" s="35" t="s">
        <v>261</v>
      </c>
      <c r="B96" s="1" t="str">
        <f t="shared" si="13"/>
        <v>M</v>
      </c>
      <c r="C96" s="35" t="s">
        <v>262</v>
      </c>
      <c r="D96" s="29">
        <v>2021</v>
      </c>
      <c r="E96" s="29" t="s">
        <v>1</v>
      </c>
      <c r="F96" s="29" t="s">
        <v>126</v>
      </c>
      <c r="G96" s="1"/>
    </row>
    <row r="97" spans="1:7" x14ac:dyDescent="0.25">
      <c r="A97" s="35" t="s">
        <v>263</v>
      </c>
      <c r="B97" s="1" t="str">
        <f t="shared" si="13"/>
        <v>N</v>
      </c>
      <c r="C97" s="35" t="s">
        <v>264</v>
      </c>
      <c r="D97" s="29">
        <v>2021</v>
      </c>
      <c r="E97" s="29" t="s">
        <v>1</v>
      </c>
      <c r="F97" s="35" t="s">
        <v>122</v>
      </c>
      <c r="G97" s="1"/>
    </row>
    <row r="98" spans="1:7" x14ac:dyDescent="0.25">
      <c r="A98" s="35" t="s">
        <v>265</v>
      </c>
      <c r="B98" s="1" t="str">
        <f t="shared" ref="B98:C193" si="14">LEFT(A98)</f>
        <v>P</v>
      </c>
      <c r="C98" s="35" t="s">
        <v>266</v>
      </c>
      <c r="D98" s="29">
        <v>2021</v>
      </c>
      <c r="E98" s="29" t="s">
        <v>1</v>
      </c>
      <c r="F98" s="35" t="s">
        <v>267</v>
      </c>
      <c r="G98" s="1"/>
    </row>
    <row r="99" spans="1:7" x14ac:dyDescent="0.25">
      <c r="A99" s="35" t="s">
        <v>268</v>
      </c>
      <c r="B99" s="1" t="str">
        <f t="shared" si="14"/>
        <v>R</v>
      </c>
      <c r="C99" s="35" t="s">
        <v>269</v>
      </c>
      <c r="D99" s="29">
        <v>2021</v>
      </c>
      <c r="E99" s="29" t="s">
        <v>1</v>
      </c>
      <c r="F99" s="35" t="s">
        <v>212</v>
      </c>
      <c r="G99" s="1"/>
    </row>
    <row r="100" spans="1:7" x14ac:dyDescent="0.25">
      <c r="A100" s="35" t="s">
        <v>270</v>
      </c>
      <c r="B100" s="1" t="str">
        <f t="shared" si="14"/>
        <v>R</v>
      </c>
      <c r="C100" s="35" t="s">
        <v>236</v>
      </c>
      <c r="D100" s="29">
        <v>2021</v>
      </c>
      <c r="E100" s="29" t="s">
        <v>1</v>
      </c>
      <c r="F100" s="35" t="s">
        <v>122</v>
      </c>
      <c r="G100" s="1"/>
    </row>
    <row r="101" spans="1:7" x14ac:dyDescent="0.25">
      <c r="A101" s="35" t="s">
        <v>271</v>
      </c>
      <c r="B101" s="1" t="str">
        <f t="shared" si="14"/>
        <v>B</v>
      </c>
      <c r="C101" s="35" t="s">
        <v>272</v>
      </c>
      <c r="D101" s="29">
        <v>2020</v>
      </c>
      <c r="E101" s="29" t="s">
        <v>1</v>
      </c>
      <c r="F101" t="s">
        <v>188</v>
      </c>
    </row>
    <row r="102" spans="1:7" x14ac:dyDescent="0.25">
      <c r="A102" s="35" t="s">
        <v>273</v>
      </c>
      <c r="B102" s="1" t="str">
        <f t="shared" si="14"/>
        <v>A</v>
      </c>
      <c r="C102" s="35" t="s">
        <v>274</v>
      </c>
      <c r="D102" s="29">
        <v>2020</v>
      </c>
      <c r="E102" s="29" t="s">
        <v>1</v>
      </c>
      <c r="F102" t="s">
        <v>37</v>
      </c>
    </row>
    <row r="103" spans="1:7" x14ac:dyDescent="0.25">
      <c r="A103" s="35" t="s">
        <v>1020</v>
      </c>
      <c r="B103" s="1" t="str">
        <f t="shared" si="14"/>
        <v>V</v>
      </c>
      <c r="C103" s="35" t="s">
        <v>1021</v>
      </c>
      <c r="D103" s="29">
        <v>2018</v>
      </c>
      <c r="E103" s="29" t="s">
        <v>1</v>
      </c>
      <c r="F103" s="35" t="s">
        <v>112</v>
      </c>
    </row>
    <row r="104" spans="1:7" x14ac:dyDescent="0.25">
      <c r="A104" s="35" t="s">
        <v>1024</v>
      </c>
      <c r="B104" s="1" t="str">
        <f t="shared" si="14"/>
        <v>B</v>
      </c>
      <c r="C104" s="35" t="s">
        <v>344</v>
      </c>
      <c r="D104" s="29">
        <v>2020</v>
      </c>
      <c r="E104" s="29" t="s">
        <v>1</v>
      </c>
      <c r="F104" s="35" t="s">
        <v>126</v>
      </c>
    </row>
    <row r="105" spans="1:7" x14ac:dyDescent="0.25">
      <c r="A105" s="35" t="s">
        <v>1025</v>
      </c>
      <c r="B105" s="1" t="str">
        <f t="shared" si="14"/>
        <v>B</v>
      </c>
      <c r="C105" s="35" t="s">
        <v>199</v>
      </c>
      <c r="D105" s="29">
        <v>2020</v>
      </c>
      <c r="E105" s="29" t="s">
        <v>1</v>
      </c>
      <c r="F105" t="s">
        <v>94</v>
      </c>
    </row>
    <row r="106" spans="1:7" x14ac:dyDescent="0.25">
      <c r="A106" s="35" t="s">
        <v>1026</v>
      </c>
      <c r="B106" s="1" t="str">
        <f t="shared" si="14"/>
        <v>G</v>
      </c>
      <c r="C106" s="35" t="s">
        <v>1027</v>
      </c>
      <c r="D106" s="29">
        <v>2020</v>
      </c>
      <c r="E106" s="29" t="s">
        <v>1</v>
      </c>
      <c r="F106" t="s">
        <v>37</v>
      </c>
    </row>
    <row r="107" spans="1:7" x14ac:dyDescent="0.25">
      <c r="A107" s="35" t="s">
        <v>1028</v>
      </c>
      <c r="B107" s="1" t="str">
        <f t="shared" si="14"/>
        <v>G</v>
      </c>
      <c r="C107" s="35" t="s">
        <v>463</v>
      </c>
      <c r="D107" s="29">
        <v>2020</v>
      </c>
      <c r="E107" s="29" t="s">
        <v>1</v>
      </c>
      <c r="F107" t="s">
        <v>91</v>
      </c>
    </row>
    <row r="108" spans="1:7" x14ac:dyDescent="0.25">
      <c r="A108" s="35" t="s">
        <v>1029</v>
      </c>
      <c r="B108" s="1" t="str">
        <f t="shared" si="14"/>
        <v>H</v>
      </c>
      <c r="C108" s="35" t="s">
        <v>1030</v>
      </c>
      <c r="D108" s="29">
        <v>2020</v>
      </c>
      <c r="E108" s="29" t="s">
        <v>1</v>
      </c>
      <c r="F108" t="s">
        <v>1031</v>
      </c>
    </row>
    <row r="109" spans="1:7" x14ac:dyDescent="0.25">
      <c r="A109" s="35" t="s">
        <v>1037</v>
      </c>
      <c r="B109" s="1" t="str">
        <f t="shared" si="14"/>
        <v>I</v>
      </c>
      <c r="C109" s="35" t="s">
        <v>1038</v>
      </c>
      <c r="D109" s="29">
        <v>2020</v>
      </c>
      <c r="E109" s="29" t="s">
        <v>1</v>
      </c>
      <c r="F109" s="87" t="s">
        <v>94</v>
      </c>
    </row>
    <row r="110" spans="1:7" x14ac:dyDescent="0.25">
      <c r="A110" s="35" t="s">
        <v>1039</v>
      </c>
      <c r="B110" s="1" t="str">
        <f t="shared" si="14"/>
        <v>L</v>
      </c>
      <c r="C110" s="35" t="s">
        <v>1040</v>
      </c>
      <c r="D110" s="29">
        <v>2020</v>
      </c>
      <c r="E110" s="29" t="s">
        <v>1</v>
      </c>
      <c r="F110" s="90" t="s">
        <v>1041</v>
      </c>
    </row>
    <row r="111" spans="1:7" x14ac:dyDescent="0.25">
      <c r="A111" s="35" t="s">
        <v>1047</v>
      </c>
      <c r="B111" s="1" t="str">
        <f t="shared" si="14"/>
        <v>L</v>
      </c>
      <c r="C111" s="35" t="s">
        <v>191</v>
      </c>
      <c r="D111" s="29">
        <v>2020</v>
      </c>
      <c r="E111" s="29" t="s">
        <v>1</v>
      </c>
      <c r="F111" t="s">
        <v>1048</v>
      </c>
    </row>
    <row r="112" spans="1:7" x14ac:dyDescent="0.25">
      <c r="A112" s="35" t="s">
        <v>1053</v>
      </c>
      <c r="B112" s="1" t="str">
        <f t="shared" si="14"/>
        <v>L</v>
      </c>
      <c r="C112" s="35" t="s">
        <v>379</v>
      </c>
      <c r="D112" s="29">
        <v>2020</v>
      </c>
      <c r="E112" s="29" t="s">
        <v>1</v>
      </c>
      <c r="F112" s="30" t="s">
        <v>104</v>
      </c>
    </row>
    <row r="113" spans="1:7" x14ac:dyDescent="0.25">
      <c r="A113" s="35" t="s">
        <v>1054</v>
      </c>
      <c r="B113" s="1" t="str">
        <f t="shared" si="14"/>
        <v>M</v>
      </c>
      <c r="C113" s="35" t="s">
        <v>211</v>
      </c>
      <c r="D113" s="29">
        <v>2020</v>
      </c>
      <c r="E113" s="29" t="s">
        <v>1</v>
      </c>
      <c r="F113" s="99" t="s">
        <v>407</v>
      </c>
    </row>
    <row r="114" spans="1:7" x14ac:dyDescent="0.25">
      <c r="A114" s="35" t="s">
        <v>1055</v>
      </c>
      <c r="B114" s="1" t="str">
        <f t="shared" si="14"/>
        <v>M</v>
      </c>
      <c r="C114" s="35" t="s">
        <v>264</v>
      </c>
      <c r="D114" s="29">
        <v>2020</v>
      </c>
      <c r="E114" s="29" t="s">
        <v>1</v>
      </c>
      <c r="F114" t="s">
        <v>258</v>
      </c>
    </row>
    <row r="115" spans="1:7" x14ac:dyDescent="0.25">
      <c r="A115" s="35" t="s">
        <v>1056</v>
      </c>
      <c r="B115" s="1" t="str">
        <f t="shared" si="14"/>
        <v>N</v>
      </c>
      <c r="C115" s="35" t="s">
        <v>379</v>
      </c>
      <c r="D115" s="29">
        <v>2020</v>
      </c>
      <c r="E115" s="29" t="s">
        <v>1</v>
      </c>
      <c r="F115" s="35" t="s">
        <v>112</v>
      </c>
    </row>
    <row r="116" spans="1:7" x14ac:dyDescent="0.25">
      <c r="A116" s="35" t="s">
        <v>1057</v>
      </c>
      <c r="B116" s="1" t="str">
        <f t="shared" si="14"/>
        <v>P</v>
      </c>
      <c r="C116" s="35" t="s">
        <v>1058</v>
      </c>
      <c r="D116" s="29">
        <v>2020</v>
      </c>
      <c r="E116" s="29" t="s">
        <v>1</v>
      </c>
      <c r="F116" s="13" t="s">
        <v>724</v>
      </c>
    </row>
    <row r="117" spans="1:7" x14ac:dyDescent="0.25">
      <c r="A117" s="35" t="s">
        <v>1059</v>
      </c>
      <c r="B117" s="1" t="str">
        <f t="shared" si="14"/>
        <v>R</v>
      </c>
      <c r="C117" s="35" t="s">
        <v>1060</v>
      </c>
      <c r="D117" s="29">
        <v>2020</v>
      </c>
      <c r="E117" s="29" t="s">
        <v>1</v>
      </c>
      <c r="F117" s="35" t="s">
        <v>112</v>
      </c>
    </row>
    <row r="118" spans="1:7" x14ac:dyDescent="0.25">
      <c r="A118" s="35" t="s">
        <v>1061</v>
      </c>
      <c r="B118" s="1" t="str">
        <f t="shared" si="14"/>
        <v>R</v>
      </c>
      <c r="C118" s="35" t="s">
        <v>967</v>
      </c>
      <c r="D118" s="29">
        <v>2020</v>
      </c>
      <c r="E118" s="29" t="s">
        <v>1</v>
      </c>
      <c r="F118" t="s">
        <v>1063</v>
      </c>
    </row>
    <row r="119" spans="1:7" x14ac:dyDescent="0.25">
      <c r="A119" s="35" t="s">
        <v>1070</v>
      </c>
      <c r="B119" s="1" t="str">
        <f t="shared" si="14"/>
        <v>T</v>
      </c>
      <c r="C119" s="35" t="s">
        <v>431</v>
      </c>
      <c r="D119" s="29">
        <v>2020</v>
      </c>
      <c r="E119" s="29" t="s">
        <v>1</v>
      </c>
      <c r="F119" t="s">
        <v>1071</v>
      </c>
    </row>
    <row r="120" spans="1:7" x14ac:dyDescent="0.25">
      <c r="A120" s="35" t="s">
        <v>1078</v>
      </c>
      <c r="B120" s="1" t="str">
        <f t="shared" si="14"/>
        <v>A</v>
      </c>
      <c r="C120" s="35" t="s">
        <v>1079</v>
      </c>
      <c r="D120" s="29">
        <v>2019</v>
      </c>
      <c r="E120" s="29" t="s">
        <v>1</v>
      </c>
      <c r="F120" t="s">
        <v>1031</v>
      </c>
    </row>
    <row r="121" spans="1:7" x14ac:dyDescent="0.25">
      <c r="A121" s="35" t="s">
        <v>1080</v>
      </c>
      <c r="B121" s="1" t="str">
        <f t="shared" si="14"/>
        <v>B</v>
      </c>
      <c r="C121" s="35" t="s">
        <v>1081</v>
      </c>
      <c r="D121" s="29">
        <v>2019</v>
      </c>
      <c r="E121" s="29" t="s">
        <v>1</v>
      </c>
      <c r="F121" s="99" t="s">
        <v>126</v>
      </c>
    </row>
    <row r="122" spans="1:7" x14ac:dyDescent="0.25">
      <c r="A122" s="35" t="s">
        <v>1082</v>
      </c>
      <c r="B122" s="1" t="str">
        <f t="shared" si="14"/>
        <v>B</v>
      </c>
      <c r="C122" s="35" t="s">
        <v>141</v>
      </c>
      <c r="D122" s="29">
        <v>2019</v>
      </c>
      <c r="E122" s="29" t="s">
        <v>1</v>
      </c>
      <c r="F122" s="99" t="s">
        <v>37</v>
      </c>
    </row>
    <row r="123" spans="1:7" x14ac:dyDescent="0.25">
      <c r="A123" s="35" t="s">
        <v>1083</v>
      </c>
      <c r="B123" s="1" t="str">
        <f t="shared" si="14"/>
        <v>B</v>
      </c>
      <c r="C123" s="35" t="s">
        <v>1084</v>
      </c>
      <c r="D123" s="29">
        <v>2019</v>
      </c>
      <c r="E123" s="29" t="s">
        <v>1</v>
      </c>
      <c r="F123" s="99" t="s">
        <v>740</v>
      </c>
    </row>
    <row r="124" spans="1:7" x14ac:dyDescent="0.25">
      <c r="A124" s="35" t="s">
        <v>1085</v>
      </c>
      <c r="B124" s="1" t="str">
        <f t="shared" si="14"/>
        <v>C</v>
      </c>
      <c r="C124" s="35" t="s">
        <v>1086</v>
      </c>
      <c r="D124" s="29">
        <v>2019</v>
      </c>
      <c r="E124" s="29" t="s">
        <v>1</v>
      </c>
      <c r="F124" s="30" t="s">
        <v>104</v>
      </c>
      <c r="G124" s="99" t="s">
        <v>80</v>
      </c>
    </row>
    <row r="125" spans="1:7" x14ac:dyDescent="0.25">
      <c r="A125" s="35" t="s">
        <v>1087</v>
      </c>
      <c r="B125" s="1" t="str">
        <f t="shared" si="14"/>
        <v>C</v>
      </c>
      <c r="C125" s="35" t="s">
        <v>191</v>
      </c>
      <c r="D125" s="29">
        <v>2019</v>
      </c>
      <c r="E125" s="29" t="s">
        <v>1</v>
      </c>
      <c r="F125" s="99" t="s">
        <v>37</v>
      </c>
    </row>
    <row r="126" spans="1:7" x14ac:dyDescent="0.25">
      <c r="A126" s="35" t="s">
        <v>1088</v>
      </c>
      <c r="B126" s="1" t="str">
        <f t="shared" si="14"/>
        <v>D</v>
      </c>
      <c r="C126" s="35" t="s">
        <v>1089</v>
      </c>
      <c r="D126" s="29">
        <v>2019</v>
      </c>
      <c r="E126" s="29" t="s">
        <v>1</v>
      </c>
      <c r="F126" s="99" t="s">
        <v>107</v>
      </c>
    </row>
    <row r="127" spans="1:7" x14ac:dyDescent="0.25">
      <c r="A127" s="35" t="s">
        <v>1090</v>
      </c>
      <c r="B127" s="1" t="str">
        <f t="shared" si="14"/>
        <v>D</v>
      </c>
      <c r="C127" s="35" t="s">
        <v>1091</v>
      </c>
      <c r="D127" s="29">
        <v>2019</v>
      </c>
      <c r="E127" s="29" t="s">
        <v>1</v>
      </c>
      <c r="F127" s="99" t="s">
        <v>37</v>
      </c>
    </row>
    <row r="128" spans="1:7" x14ac:dyDescent="0.25">
      <c r="A128" s="35" t="s">
        <v>1092</v>
      </c>
      <c r="B128" s="1" t="str">
        <f t="shared" si="14"/>
        <v>M</v>
      </c>
      <c r="C128" s="35" t="s">
        <v>379</v>
      </c>
      <c r="D128" s="29">
        <v>2019</v>
      </c>
      <c r="E128" s="29" t="s">
        <v>1</v>
      </c>
      <c r="F128" s="99" t="s">
        <v>104</v>
      </c>
    </row>
    <row r="129" spans="1:7" x14ac:dyDescent="0.25">
      <c r="A129" s="35" t="s">
        <v>1093</v>
      </c>
      <c r="B129" s="1" t="str">
        <f t="shared" si="14"/>
        <v>N</v>
      </c>
      <c r="C129" s="35" t="s">
        <v>969</v>
      </c>
      <c r="D129" s="29">
        <v>2019</v>
      </c>
      <c r="E129" s="29" t="s">
        <v>1</v>
      </c>
      <c r="F129" s="99" t="s">
        <v>459</v>
      </c>
    </row>
    <row r="130" spans="1:7" x14ac:dyDescent="0.25">
      <c r="A130" s="35" t="s">
        <v>1094</v>
      </c>
      <c r="B130" s="1" t="str">
        <f t="shared" si="14"/>
        <v>P</v>
      </c>
      <c r="C130" s="35" t="s">
        <v>234</v>
      </c>
      <c r="D130" s="29">
        <v>2019</v>
      </c>
      <c r="E130" s="29" t="s">
        <v>1</v>
      </c>
      <c r="F130" s="35" t="s">
        <v>112</v>
      </c>
    </row>
    <row r="131" spans="1:7" x14ac:dyDescent="0.25">
      <c r="A131" s="35" t="s">
        <v>1095</v>
      </c>
      <c r="B131" s="1" t="str">
        <f t="shared" si="14"/>
        <v>S</v>
      </c>
      <c r="C131" s="35" t="s">
        <v>96</v>
      </c>
      <c r="D131" s="29">
        <v>2019</v>
      </c>
      <c r="E131" s="29" t="s">
        <v>1</v>
      </c>
      <c r="F131" s="99" t="s">
        <v>145</v>
      </c>
    </row>
    <row r="132" spans="1:7" x14ac:dyDescent="0.25">
      <c r="A132" s="35" t="s">
        <v>1096</v>
      </c>
      <c r="B132" s="1" t="str">
        <f t="shared" si="14"/>
        <v>S</v>
      </c>
      <c r="C132" s="35" t="s">
        <v>1097</v>
      </c>
      <c r="D132" s="29">
        <v>2019</v>
      </c>
      <c r="E132" s="29" t="s">
        <v>1</v>
      </c>
      <c r="F132" s="99" t="s">
        <v>740</v>
      </c>
    </row>
    <row r="133" spans="1:7" x14ac:dyDescent="0.25">
      <c r="A133" s="35" t="s">
        <v>1098</v>
      </c>
      <c r="B133" s="1" t="str">
        <f t="shared" si="14"/>
        <v>S</v>
      </c>
      <c r="C133" s="35" t="s">
        <v>439</v>
      </c>
      <c r="D133" s="29">
        <v>2019</v>
      </c>
      <c r="E133" s="29" t="s">
        <v>1</v>
      </c>
      <c r="F133" s="99" t="s">
        <v>740</v>
      </c>
    </row>
    <row r="134" spans="1:7" x14ac:dyDescent="0.25">
      <c r="A134" s="35" t="s">
        <v>1099</v>
      </c>
      <c r="B134" s="1" t="str">
        <f t="shared" si="14"/>
        <v>B</v>
      </c>
      <c r="C134" s="35" t="s">
        <v>128</v>
      </c>
      <c r="D134" s="29">
        <v>2018</v>
      </c>
      <c r="E134" s="29" t="s">
        <v>1</v>
      </c>
      <c r="F134" s="99" t="s">
        <v>104</v>
      </c>
      <c r="G134" s="99" t="s">
        <v>182</v>
      </c>
    </row>
    <row r="135" spans="1:7" x14ac:dyDescent="0.25">
      <c r="A135" s="35" t="s">
        <v>1100</v>
      </c>
      <c r="B135" s="1" t="str">
        <f t="shared" si="14"/>
        <v>C</v>
      </c>
      <c r="C135" s="35" t="s">
        <v>1101</v>
      </c>
      <c r="D135" s="29">
        <v>2018</v>
      </c>
      <c r="E135" s="29" t="s">
        <v>1</v>
      </c>
      <c r="F135" s="99" t="s">
        <v>37</v>
      </c>
    </row>
    <row r="136" spans="1:7" x14ac:dyDescent="0.25">
      <c r="A136" s="35" t="s">
        <v>1102</v>
      </c>
      <c r="B136" s="1" t="str">
        <f t="shared" si="14"/>
        <v>C</v>
      </c>
      <c r="C136" s="35" t="s">
        <v>128</v>
      </c>
      <c r="D136" s="29">
        <v>2018</v>
      </c>
      <c r="E136" s="29" t="s">
        <v>1</v>
      </c>
      <c r="F136" s="99" t="s">
        <v>91</v>
      </c>
    </row>
    <row r="137" spans="1:7" x14ac:dyDescent="0.25">
      <c r="A137" s="35" t="s">
        <v>1103</v>
      </c>
      <c r="B137" s="1" t="str">
        <f t="shared" si="14"/>
        <v>C</v>
      </c>
      <c r="C137" s="35" t="s">
        <v>269</v>
      </c>
      <c r="D137" s="29">
        <v>2018</v>
      </c>
      <c r="E137" s="29" t="s">
        <v>1</v>
      </c>
      <c r="F137" s="99" t="s">
        <v>232</v>
      </c>
    </row>
    <row r="138" spans="1:7" x14ac:dyDescent="0.25">
      <c r="A138" s="35" t="s">
        <v>1104</v>
      </c>
      <c r="B138" s="1" t="str">
        <f t="shared" si="14"/>
        <v>D</v>
      </c>
      <c r="C138" s="35" t="s">
        <v>1105</v>
      </c>
      <c r="D138" s="29">
        <v>2018</v>
      </c>
      <c r="E138" s="29" t="s">
        <v>1</v>
      </c>
      <c r="F138" s="99" t="s">
        <v>1031</v>
      </c>
    </row>
    <row r="139" spans="1:7" x14ac:dyDescent="0.25">
      <c r="A139" s="35" t="s">
        <v>1106</v>
      </c>
      <c r="B139" s="1" t="str">
        <f t="shared" si="14"/>
        <v>D</v>
      </c>
      <c r="C139" s="35" t="s">
        <v>234</v>
      </c>
      <c r="D139" s="29">
        <v>2018</v>
      </c>
      <c r="E139" s="29" t="s">
        <v>1</v>
      </c>
      <c r="F139" s="1" t="s">
        <v>139</v>
      </c>
    </row>
    <row r="140" spans="1:7" x14ac:dyDescent="0.25">
      <c r="A140" s="35" t="s">
        <v>1107</v>
      </c>
      <c r="B140" s="1" t="str">
        <f t="shared" si="14"/>
        <v>F</v>
      </c>
      <c r="C140" s="35" t="s">
        <v>178</v>
      </c>
      <c r="D140" s="29">
        <v>2018</v>
      </c>
      <c r="E140" s="29" t="s">
        <v>1</v>
      </c>
      <c r="F140" s="99" t="s">
        <v>232</v>
      </c>
    </row>
    <row r="141" spans="1:7" x14ac:dyDescent="0.25">
      <c r="A141" s="35" t="s">
        <v>1108</v>
      </c>
      <c r="B141" s="1" t="str">
        <f t="shared" si="14"/>
        <v>H</v>
      </c>
      <c r="C141" s="35" t="s">
        <v>1101</v>
      </c>
      <c r="D141" s="29">
        <v>2018</v>
      </c>
      <c r="E141" s="29" t="s">
        <v>1</v>
      </c>
      <c r="F141" s="99" t="s">
        <v>126</v>
      </c>
    </row>
    <row r="142" spans="1:7" x14ac:dyDescent="0.25">
      <c r="A142" s="35" t="s">
        <v>1109</v>
      </c>
      <c r="B142" s="1" t="str">
        <f t="shared" si="14"/>
        <v>J</v>
      </c>
      <c r="C142" s="35" t="s">
        <v>1110</v>
      </c>
      <c r="D142" s="29">
        <v>2018</v>
      </c>
      <c r="E142" s="29" t="s">
        <v>1</v>
      </c>
      <c r="F142" s="99" t="s">
        <v>104</v>
      </c>
    </row>
    <row r="143" spans="1:7" x14ac:dyDescent="0.25">
      <c r="A143" s="35" t="s">
        <v>1111</v>
      </c>
      <c r="B143" s="1" t="str">
        <f t="shared" si="14"/>
        <v>J</v>
      </c>
      <c r="C143" s="35" t="s">
        <v>470</v>
      </c>
      <c r="D143" s="29">
        <v>2018</v>
      </c>
      <c r="E143" s="29" t="s">
        <v>1</v>
      </c>
      <c r="F143" s="99" t="s">
        <v>212</v>
      </c>
    </row>
    <row r="144" spans="1:7" x14ac:dyDescent="0.25">
      <c r="A144" s="35" t="s">
        <v>1112</v>
      </c>
      <c r="B144" s="1" t="str">
        <f t="shared" si="14"/>
        <v>L</v>
      </c>
      <c r="C144" s="35" t="s">
        <v>1113</v>
      </c>
      <c r="D144" s="29">
        <v>2018</v>
      </c>
      <c r="E144" s="29" t="s">
        <v>1</v>
      </c>
      <c r="F144" s="99" t="s">
        <v>1114</v>
      </c>
    </row>
    <row r="145" spans="1:7" x14ac:dyDescent="0.25">
      <c r="A145" s="35" t="s">
        <v>1120</v>
      </c>
      <c r="B145" s="1" t="str">
        <f t="shared" si="14"/>
        <v>M</v>
      </c>
      <c r="C145" s="35" t="s">
        <v>310</v>
      </c>
      <c r="D145" s="29">
        <v>2018</v>
      </c>
      <c r="E145" s="29" t="s">
        <v>1</v>
      </c>
      <c r="F145" s="99" t="s">
        <v>126</v>
      </c>
    </row>
    <row r="146" spans="1:7" x14ac:dyDescent="0.25">
      <c r="A146" s="35" t="s">
        <v>1121</v>
      </c>
      <c r="B146" s="1" t="str">
        <f t="shared" si="14"/>
        <v>P</v>
      </c>
      <c r="C146" s="35" t="s">
        <v>269</v>
      </c>
      <c r="D146" s="29">
        <v>2018</v>
      </c>
      <c r="E146" s="29" t="s">
        <v>1</v>
      </c>
      <c r="F146" s="99" t="s">
        <v>126</v>
      </c>
    </row>
    <row r="147" spans="1:7" x14ac:dyDescent="0.25">
      <c r="A147" s="35" t="s">
        <v>1122</v>
      </c>
      <c r="B147" s="1" t="str">
        <f t="shared" si="14"/>
        <v>P</v>
      </c>
      <c r="C147" s="35" t="s">
        <v>330</v>
      </c>
      <c r="D147" s="29">
        <v>2018</v>
      </c>
      <c r="E147" s="29" t="s">
        <v>1</v>
      </c>
      <c r="F147" s="99" t="s">
        <v>104</v>
      </c>
    </row>
    <row r="148" spans="1:7" x14ac:dyDescent="0.25">
      <c r="A148" s="35" t="s">
        <v>1096</v>
      </c>
      <c r="B148" s="1" t="str">
        <f t="shared" si="14"/>
        <v>S</v>
      </c>
      <c r="C148" s="35" t="s">
        <v>1097</v>
      </c>
      <c r="D148" s="29">
        <v>2018</v>
      </c>
      <c r="E148" s="29" t="s">
        <v>1</v>
      </c>
      <c r="F148" s="99" t="s">
        <v>104</v>
      </c>
    </row>
    <row r="149" spans="1:7" x14ac:dyDescent="0.25">
      <c r="A149" s="35" t="s">
        <v>1123</v>
      </c>
      <c r="B149" s="1" t="str">
        <f t="shared" si="14"/>
        <v>A</v>
      </c>
      <c r="C149" s="35" t="s">
        <v>164</v>
      </c>
      <c r="D149" s="29">
        <v>2017</v>
      </c>
      <c r="E149" s="29" t="s">
        <v>1</v>
      </c>
      <c r="F149" s="35" t="s">
        <v>112</v>
      </c>
    </row>
    <row r="150" spans="1:7" x14ac:dyDescent="0.25">
      <c r="A150" s="35" t="s">
        <v>1124</v>
      </c>
      <c r="B150" s="1" t="str">
        <f t="shared" si="14"/>
        <v>B</v>
      </c>
      <c r="C150" s="35" t="s">
        <v>1125</v>
      </c>
      <c r="D150" s="29">
        <v>2017</v>
      </c>
      <c r="E150" s="29" t="s">
        <v>1</v>
      </c>
      <c r="F150" s="99" t="s">
        <v>104</v>
      </c>
      <c r="G150" s="99" t="s">
        <v>182</v>
      </c>
    </row>
    <row r="151" spans="1:7" x14ac:dyDescent="0.25">
      <c r="A151" s="35" t="s">
        <v>1126</v>
      </c>
      <c r="B151" s="1" t="str">
        <f t="shared" si="14"/>
        <v>C</v>
      </c>
      <c r="C151" s="103" t="s">
        <v>298</v>
      </c>
      <c r="D151" s="29">
        <v>2017</v>
      </c>
      <c r="E151" s="29" t="s">
        <v>1</v>
      </c>
      <c r="F151" s="99" t="s">
        <v>104</v>
      </c>
    </row>
    <row r="152" spans="1:7" x14ac:dyDescent="0.25">
      <c r="A152" s="35" t="s">
        <v>1127</v>
      </c>
      <c r="B152" s="1" t="str">
        <f t="shared" si="14"/>
        <v>D</v>
      </c>
      <c r="C152" s="35" t="s">
        <v>1128</v>
      </c>
      <c r="D152" s="29">
        <v>2017</v>
      </c>
      <c r="E152" s="29" t="s">
        <v>1</v>
      </c>
      <c r="F152" s="35" t="s">
        <v>112</v>
      </c>
    </row>
    <row r="153" spans="1:7" x14ac:dyDescent="0.25">
      <c r="A153" s="35" t="s">
        <v>1129</v>
      </c>
      <c r="B153" s="1" t="str">
        <f t="shared" si="14"/>
        <v>D</v>
      </c>
      <c r="C153" s="35" t="s">
        <v>1130</v>
      </c>
      <c r="D153" s="29">
        <v>2017</v>
      </c>
      <c r="E153" s="29" t="s">
        <v>1</v>
      </c>
      <c r="F153" s="99" t="s">
        <v>212</v>
      </c>
    </row>
    <row r="154" spans="1:7" x14ac:dyDescent="0.25">
      <c r="A154" s="35" t="s">
        <v>1090</v>
      </c>
      <c r="B154" s="1" t="str">
        <f t="shared" si="14"/>
        <v>D</v>
      </c>
      <c r="C154" s="35" t="s">
        <v>1131</v>
      </c>
      <c r="D154" s="29">
        <v>2017</v>
      </c>
      <c r="E154" s="29" t="s">
        <v>1</v>
      </c>
      <c r="F154" s="99" t="s">
        <v>37</v>
      </c>
    </row>
    <row r="155" spans="1:7" x14ac:dyDescent="0.25">
      <c r="A155" s="35" t="s">
        <v>1132</v>
      </c>
      <c r="B155" s="1" t="str">
        <f t="shared" si="14"/>
        <v>F</v>
      </c>
      <c r="C155" s="35" t="s">
        <v>209</v>
      </c>
      <c r="D155" s="29">
        <v>2017</v>
      </c>
      <c r="E155" s="29" t="s">
        <v>1</v>
      </c>
      <c r="F155" s="35" t="s">
        <v>112</v>
      </c>
    </row>
    <row r="156" spans="1:7" x14ac:dyDescent="0.25">
      <c r="A156" s="35" t="s">
        <v>1133</v>
      </c>
      <c r="B156" s="1" t="str">
        <f t="shared" si="14"/>
        <v>F</v>
      </c>
      <c r="C156" s="35" t="s">
        <v>234</v>
      </c>
      <c r="D156" s="29">
        <v>2017</v>
      </c>
      <c r="E156" s="29" t="s">
        <v>1</v>
      </c>
      <c r="F156" s="99" t="s">
        <v>85</v>
      </c>
    </row>
    <row r="157" spans="1:7" x14ac:dyDescent="0.25">
      <c r="A157" s="35" t="s">
        <v>1134</v>
      </c>
      <c r="B157" s="1" t="str">
        <f t="shared" si="14"/>
        <v>G</v>
      </c>
      <c r="C157" s="35" t="s">
        <v>1135</v>
      </c>
      <c r="D157" s="29">
        <v>2017</v>
      </c>
      <c r="E157" s="29" t="s">
        <v>1</v>
      </c>
      <c r="F157" s="99" t="s">
        <v>122</v>
      </c>
    </row>
    <row r="158" spans="1:7" x14ac:dyDescent="0.25">
      <c r="A158" s="35" t="s">
        <v>1136</v>
      </c>
      <c r="B158" s="1" t="str">
        <f t="shared" si="14"/>
        <v>J</v>
      </c>
      <c r="C158" s="35" t="s">
        <v>1137</v>
      </c>
      <c r="D158" s="29">
        <v>2017</v>
      </c>
      <c r="E158" s="29" t="s">
        <v>1</v>
      </c>
      <c r="F158" s="99" t="s">
        <v>1063</v>
      </c>
    </row>
    <row r="159" spans="1:7" x14ac:dyDescent="0.25">
      <c r="A159" s="35" t="s">
        <v>1138</v>
      </c>
      <c r="B159" s="1" t="str">
        <f t="shared" si="14"/>
        <v>L</v>
      </c>
      <c r="C159" s="35" t="s">
        <v>193</v>
      </c>
      <c r="D159" s="29">
        <v>2017</v>
      </c>
      <c r="E159" s="29" t="s">
        <v>1</v>
      </c>
      <c r="F159" s="99" t="s">
        <v>253</v>
      </c>
    </row>
    <row r="160" spans="1:7" x14ac:dyDescent="0.25">
      <c r="A160" s="35" t="s">
        <v>1139</v>
      </c>
      <c r="B160" s="1" t="str">
        <f t="shared" si="14"/>
        <v>M</v>
      </c>
      <c r="C160" s="35" t="s">
        <v>1140</v>
      </c>
      <c r="D160" s="29">
        <v>2017</v>
      </c>
      <c r="E160" s="29" t="s">
        <v>1</v>
      </c>
      <c r="F160" s="99" t="s">
        <v>961</v>
      </c>
    </row>
    <row r="161" spans="1:6" x14ac:dyDescent="0.25">
      <c r="A161" s="35" t="s">
        <v>1141</v>
      </c>
      <c r="B161" s="1" t="str">
        <f t="shared" si="14"/>
        <v>M</v>
      </c>
      <c r="C161" s="35" t="s">
        <v>419</v>
      </c>
      <c r="D161" s="29">
        <v>2017</v>
      </c>
      <c r="E161" s="29" t="s">
        <v>1</v>
      </c>
      <c r="F161" s="99" t="s">
        <v>1142</v>
      </c>
    </row>
    <row r="162" spans="1:6" x14ac:dyDescent="0.25">
      <c r="A162" s="35" t="s">
        <v>1148</v>
      </c>
      <c r="B162" s="1" t="str">
        <f t="shared" si="14"/>
        <v>M</v>
      </c>
      <c r="C162" s="35" t="s">
        <v>1149</v>
      </c>
      <c r="D162" s="29">
        <v>2017</v>
      </c>
      <c r="E162" s="29" t="s">
        <v>1</v>
      </c>
      <c r="F162" s="99" t="s">
        <v>530</v>
      </c>
    </row>
    <row r="163" spans="1:6" x14ac:dyDescent="0.25">
      <c r="A163" s="35" t="s">
        <v>1150</v>
      </c>
      <c r="B163" s="1" t="str">
        <f t="shared" si="14"/>
        <v>M</v>
      </c>
      <c r="C163" s="35" t="s">
        <v>386</v>
      </c>
      <c r="D163" s="29">
        <v>2017</v>
      </c>
      <c r="E163" s="29" t="s">
        <v>1</v>
      </c>
      <c r="F163" s="99" t="s">
        <v>104</v>
      </c>
    </row>
    <row r="164" spans="1:6" x14ac:dyDescent="0.25">
      <c r="A164" s="35" t="s">
        <v>1151</v>
      </c>
      <c r="B164" s="1" t="str">
        <f t="shared" si="14"/>
        <v>P</v>
      </c>
      <c r="C164" s="35" t="s">
        <v>1152</v>
      </c>
      <c r="D164" s="29">
        <v>2017</v>
      </c>
      <c r="E164" s="29" t="s">
        <v>1</v>
      </c>
      <c r="F164" s="99" t="s">
        <v>91</v>
      </c>
    </row>
    <row r="165" spans="1:6" x14ac:dyDescent="0.25">
      <c r="A165" s="35" t="s">
        <v>1153</v>
      </c>
      <c r="B165" s="1" t="str">
        <f t="shared" si="14"/>
        <v>S</v>
      </c>
      <c r="C165" s="35" t="s">
        <v>1154</v>
      </c>
      <c r="D165" s="29">
        <v>2017</v>
      </c>
      <c r="E165" s="29" t="s">
        <v>1</v>
      </c>
      <c r="F165" s="1" t="s">
        <v>139</v>
      </c>
    </row>
    <row r="166" spans="1:6" x14ac:dyDescent="0.25">
      <c r="A166" s="35" t="s">
        <v>1155</v>
      </c>
      <c r="B166" s="1" t="str">
        <f t="shared" si="14"/>
        <v>B</v>
      </c>
      <c r="C166" s="35" t="s">
        <v>404</v>
      </c>
      <c r="F166" s="99" t="s">
        <v>740</v>
      </c>
    </row>
    <row r="167" spans="1:6" x14ac:dyDescent="0.25">
      <c r="A167" s="35" t="s">
        <v>1156</v>
      </c>
      <c r="B167" s="1" t="str">
        <f t="shared" si="14"/>
        <v>C</v>
      </c>
      <c r="C167" s="35" t="s">
        <v>1157</v>
      </c>
      <c r="D167" s="29">
        <v>2016</v>
      </c>
      <c r="E167" s="29" t="s">
        <v>1</v>
      </c>
      <c r="F167" s="99" t="s">
        <v>253</v>
      </c>
    </row>
    <row r="168" spans="1:6" x14ac:dyDescent="0.25">
      <c r="A168" s="35" t="s">
        <v>1158</v>
      </c>
      <c r="B168" s="1" t="str">
        <f t="shared" si="14"/>
        <v>B</v>
      </c>
      <c r="C168" s="35" t="s">
        <v>262</v>
      </c>
      <c r="D168" s="29">
        <v>2016</v>
      </c>
      <c r="E168" s="29" t="s">
        <v>1</v>
      </c>
      <c r="F168" s="99" t="s">
        <v>258</v>
      </c>
    </row>
    <row r="169" spans="1:6" x14ac:dyDescent="0.25">
      <c r="A169" s="35" t="s">
        <v>1159</v>
      </c>
      <c r="B169" s="1" t="str">
        <f t="shared" si="14"/>
        <v>D</v>
      </c>
      <c r="C169" s="35" t="s">
        <v>1160</v>
      </c>
      <c r="D169" s="29">
        <v>2016</v>
      </c>
      <c r="E169" s="29" t="s">
        <v>1</v>
      </c>
      <c r="F169" s="35" t="s">
        <v>112</v>
      </c>
    </row>
    <row r="170" spans="1:6" x14ac:dyDescent="0.25">
      <c r="A170" s="35" t="s">
        <v>1161</v>
      </c>
      <c r="B170" s="1" t="str">
        <f t="shared" si="14"/>
        <v>D</v>
      </c>
      <c r="C170" s="35" t="s">
        <v>209</v>
      </c>
      <c r="D170" s="29">
        <v>2016</v>
      </c>
      <c r="E170" s="29" t="s">
        <v>1</v>
      </c>
      <c r="F170" s="99" t="s">
        <v>37</v>
      </c>
    </row>
    <row r="171" spans="1:6" x14ac:dyDescent="0.25">
      <c r="A171" s="35" t="s">
        <v>1162</v>
      </c>
      <c r="B171" s="1" t="str">
        <f t="shared" si="14"/>
        <v>J</v>
      </c>
      <c r="C171" s="35" t="s">
        <v>1163</v>
      </c>
      <c r="D171" s="29">
        <v>2016</v>
      </c>
      <c r="E171" s="29" t="s">
        <v>1</v>
      </c>
      <c r="F171" s="99" t="s">
        <v>104</v>
      </c>
    </row>
    <row r="172" spans="1:6" x14ac:dyDescent="0.25">
      <c r="A172" s="35" t="s">
        <v>1164</v>
      </c>
      <c r="B172" s="1" t="str">
        <f t="shared" si="14"/>
        <v>K</v>
      </c>
      <c r="C172" s="35" t="s">
        <v>1165</v>
      </c>
      <c r="D172" s="29">
        <v>2016</v>
      </c>
      <c r="E172" s="29" t="s">
        <v>1</v>
      </c>
      <c r="F172" s="99" t="s">
        <v>104</v>
      </c>
    </row>
    <row r="173" spans="1:6" x14ac:dyDescent="0.25">
      <c r="A173" s="35" t="s">
        <v>1166</v>
      </c>
      <c r="B173" s="1" t="str">
        <f t="shared" si="14"/>
        <v>L</v>
      </c>
      <c r="C173" s="35" t="s">
        <v>185</v>
      </c>
      <c r="D173" s="29">
        <v>2016</v>
      </c>
      <c r="E173" s="29" t="s">
        <v>1</v>
      </c>
      <c r="F173" s="99" t="s">
        <v>324</v>
      </c>
    </row>
    <row r="174" spans="1:6" x14ac:dyDescent="0.25">
      <c r="A174" s="35" t="s">
        <v>1167</v>
      </c>
      <c r="B174" s="1" t="str">
        <f t="shared" si="14"/>
        <v>L</v>
      </c>
      <c r="C174" s="35" t="s">
        <v>1168</v>
      </c>
      <c r="D174" s="29">
        <v>2016</v>
      </c>
      <c r="E174" s="29" t="s">
        <v>1</v>
      </c>
      <c r="F174" s="99" t="s">
        <v>104</v>
      </c>
    </row>
    <row r="175" spans="1:6" x14ac:dyDescent="0.25">
      <c r="A175" s="35" t="s">
        <v>1169</v>
      </c>
      <c r="B175" s="1" t="str">
        <f t="shared" si="14"/>
        <v>P</v>
      </c>
      <c r="C175" s="35" t="s">
        <v>1170</v>
      </c>
      <c r="D175" s="29">
        <v>2016</v>
      </c>
      <c r="E175" s="29" t="s">
        <v>1</v>
      </c>
      <c r="F175" s="99" t="s">
        <v>952</v>
      </c>
    </row>
    <row r="176" spans="1:6" x14ac:dyDescent="0.25">
      <c r="A176" s="35" t="s">
        <v>1171</v>
      </c>
      <c r="B176" s="1" t="str">
        <f t="shared" si="14"/>
        <v>R</v>
      </c>
      <c r="C176" s="35" t="s">
        <v>174</v>
      </c>
      <c r="D176" s="29">
        <v>2016</v>
      </c>
      <c r="E176" s="29" t="s">
        <v>1</v>
      </c>
      <c r="F176" s="99" t="s">
        <v>85</v>
      </c>
    </row>
    <row r="177" spans="1:6" x14ac:dyDescent="0.25">
      <c r="A177" s="35" t="s">
        <v>1172</v>
      </c>
      <c r="B177" s="1" t="str">
        <f t="shared" si="14"/>
        <v>R</v>
      </c>
      <c r="C177" s="35" t="s">
        <v>1173</v>
      </c>
      <c r="D177" s="29">
        <v>2016</v>
      </c>
      <c r="E177" s="29" t="s">
        <v>1</v>
      </c>
      <c r="F177" s="35" t="s">
        <v>112</v>
      </c>
    </row>
    <row r="178" spans="1:6" x14ac:dyDescent="0.25">
      <c r="A178" s="35" t="s">
        <v>1174</v>
      </c>
      <c r="B178" s="1" t="str">
        <f t="shared" si="14"/>
        <v>R</v>
      </c>
      <c r="C178" s="35" t="s">
        <v>1175</v>
      </c>
      <c r="D178" s="29">
        <v>2016</v>
      </c>
      <c r="E178" s="29" t="s">
        <v>1</v>
      </c>
      <c r="F178" s="99" t="s">
        <v>324</v>
      </c>
    </row>
    <row r="179" spans="1:6" x14ac:dyDescent="0.25">
      <c r="A179" s="35" t="s">
        <v>1176</v>
      </c>
      <c r="B179" s="1" t="str">
        <f t="shared" si="14"/>
        <v>S</v>
      </c>
      <c r="C179" s="35" t="s">
        <v>463</v>
      </c>
      <c r="D179" s="29">
        <v>2016</v>
      </c>
      <c r="E179" s="29" t="s">
        <v>1</v>
      </c>
      <c r="F179" s="99" t="s">
        <v>91</v>
      </c>
    </row>
    <row r="180" spans="1:6" x14ac:dyDescent="0.25">
      <c r="A180" s="35" t="s">
        <v>1177</v>
      </c>
      <c r="B180" s="1" t="str">
        <f t="shared" si="14"/>
        <v>T</v>
      </c>
      <c r="C180" s="35" t="s">
        <v>218</v>
      </c>
      <c r="D180" s="29">
        <v>2016</v>
      </c>
      <c r="E180" s="29" t="s">
        <v>1</v>
      </c>
      <c r="F180" s="99" t="s">
        <v>37</v>
      </c>
    </row>
    <row r="181" spans="1:6" x14ac:dyDescent="0.25">
      <c r="A181" s="35" t="s">
        <v>1178</v>
      </c>
      <c r="B181" s="1" t="str">
        <f t="shared" si="14"/>
        <v>V</v>
      </c>
      <c r="C181" s="35" t="s">
        <v>1179</v>
      </c>
      <c r="D181" s="29">
        <v>2016</v>
      </c>
      <c r="E181" s="29" t="s">
        <v>1</v>
      </c>
      <c r="F181" s="99" t="s">
        <v>232</v>
      </c>
    </row>
    <row r="182" spans="1:6" x14ac:dyDescent="0.25">
      <c r="A182" s="35" t="s">
        <v>1180</v>
      </c>
      <c r="B182" s="1" t="str">
        <f t="shared" si="14"/>
        <v>B</v>
      </c>
      <c r="C182" s="35" t="s">
        <v>1181</v>
      </c>
      <c r="D182" s="29">
        <v>2014</v>
      </c>
      <c r="E182" s="29" t="s">
        <v>1</v>
      </c>
      <c r="F182" s="99" t="s">
        <v>91</v>
      </c>
    </row>
    <row r="183" spans="1:6" x14ac:dyDescent="0.25">
      <c r="A183" s="35" t="s">
        <v>1182</v>
      </c>
      <c r="B183" s="1" t="str">
        <f t="shared" si="14"/>
        <v>B</v>
      </c>
      <c r="C183" s="35" t="s">
        <v>308</v>
      </c>
      <c r="D183" s="29">
        <v>2014</v>
      </c>
      <c r="E183" s="29" t="s">
        <v>1</v>
      </c>
      <c r="F183" s="99" t="s">
        <v>169</v>
      </c>
    </row>
    <row r="184" spans="1:6" x14ac:dyDescent="0.25">
      <c r="A184" s="35" t="s">
        <v>1183</v>
      </c>
      <c r="B184" s="1" t="str">
        <f t="shared" si="14"/>
        <v>B</v>
      </c>
      <c r="C184" s="35" t="s">
        <v>128</v>
      </c>
      <c r="D184" s="29">
        <v>2014</v>
      </c>
      <c r="E184" s="29" t="s">
        <v>1</v>
      </c>
      <c r="F184" s="99" t="s">
        <v>115</v>
      </c>
    </row>
    <row r="185" spans="1:6" x14ac:dyDescent="0.25">
      <c r="A185" s="35" t="s">
        <v>1184</v>
      </c>
      <c r="B185" s="1" t="str">
        <f t="shared" si="14"/>
        <v>D</v>
      </c>
      <c r="C185" s="35" t="s">
        <v>262</v>
      </c>
      <c r="D185" s="29">
        <v>2014</v>
      </c>
      <c r="E185" s="29" t="s">
        <v>1</v>
      </c>
      <c r="F185" s="99" t="s">
        <v>740</v>
      </c>
    </row>
    <row r="186" spans="1:6" x14ac:dyDescent="0.25">
      <c r="A186" s="35" t="s">
        <v>1185</v>
      </c>
      <c r="B186" s="1" t="str">
        <f t="shared" si="14"/>
        <v>D</v>
      </c>
      <c r="C186" s="35" t="s">
        <v>1186</v>
      </c>
      <c r="D186" s="29">
        <v>2014</v>
      </c>
      <c r="E186" s="29" t="s">
        <v>1</v>
      </c>
      <c r="F186" s="99" t="s">
        <v>122</v>
      </c>
    </row>
    <row r="187" spans="1:6" x14ac:dyDescent="0.25">
      <c r="A187" s="35" t="s">
        <v>1187</v>
      </c>
      <c r="B187" s="1" t="str">
        <f t="shared" si="14"/>
        <v>D</v>
      </c>
      <c r="C187" s="35" t="s">
        <v>178</v>
      </c>
      <c r="D187" s="29">
        <v>2014</v>
      </c>
      <c r="E187" s="29" t="s">
        <v>1</v>
      </c>
      <c r="F187" s="99" t="s">
        <v>459</v>
      </c>
    </row>
    <row r="188" spans="1:6" x14ac:dyDescent="0.25">
      <c r="A188" s="35" t="s">
        <v>1188</v>
      </c>
      <c r="B188" s="1" t="str">
        <f t="shared" si="14"/>
        <v>H</v>
      </c>
      <c r="C188" s="35" t="s">
        <v>1189</v>
      </c>
      <c r="D188" s="29">
        <v>2014</v>
      </c>
      <c r="E188" s="29" t="s">
        <v>1</v>
      </c>
      <c r="F188" s="99" t="s">
        <v>126</v>
      </c>
    </row>
    <row r="189" spans="1:6" x14ac:dyDescent="0.25">
      <c r="A189" s="35" t="s">
        <v>1190</v>
      </c>
      <c r="B189" s="1" t="str">
        <f t="shared" si="14"/>
        <v>J</v>
      </c>
      <c r="C189" s="35" t="s">
        <v>1191</v>
      </c>
      <c r="D189" s="29">
        <v>2014</v>
      </c>
      <c r="E189" s="29" t="s">
        <v>1</v>
      </c>
      <c r="F189" s="99" t="s">
        <v>122</v>
      </c>
    </row>
    <row r="190" spans="1:6" x14ac:dyDescent="0.25">
      <c r="A190" s="35" t="s">
        <v>1192</v>
      </c>
      <c r="B190" s="1" t="str">
        <f t="shared" si="14"/>
        <v>M</v>
      </c>
      <c r="C190" s="35" t="s">
        <v>1193</v>
      </c>
      <c r="D190" s="29">
        <v>2014</v>
      </c>
      <c r="E190" s="29" t="s">
        <v>1</v>
      </c>
      <c r="F190" s="1" t="s">
        <v>139</v>
      </c>
    </row>
    <row r="191" spans="1:6" x14ac:dyDescent="0.25">
      <c r="A191" s="35" t="s">
        <v>1148</v>
      </c>
      <c r="B191" s="1" t="str">
        <f t="shared" si="14"/>
        <v>M</v>
      </c>
      <c r="C191" s="35" t="s">
        <v>1194</v>
      </c>
      <c r="D191" s="29">
        <v>2014</v>
      </c>
      <c r="E191" s="29" t="s">
        <v>1</v>
      </c>
      <c r="F191" s="99" t="s">
        <v>104</v>
      </c>
    </row>
    <row r="192" spans="1:6" x14ac:dyDescent="0.25">
      <c r="A192" s="35" t="s">
        <v>1195</v>
      </c>
      <c r="B192" s="1" t="str">
        <f t="shared" si="14"/>
        <v>P</v>
      </c>
      <c r="C192" s="35" t="s">
        <v>272</v>
      </c>
      <c r="D192" s="29">
        <v>2014</v>
      </c>
      <c r="E192" s="29" t="s">
        <v>1</v>
      </c>
      <c r="F192" s="1" t="s">
        <v>139</v>
      </c>
    </row>
    <row r="193" spans="1:6" x14ac:dyDescent="0.25">
      <c r="A193" s="35" t="s">
        <v>1196</v>
      </c>
      <c r="B193" s="1" t="str">
        <f t="shared" si="14"/>
        <v>V</v>
      </c>
      <c r="C193" s="35" t="s">
        <v>1168</v>
      </c>
      <c r="D193" s="29">
        <v>2014</v>
      </c>
      <c r="E193" s="29" t="s">
        <v>1</v>
      </c>
      <c r="F193" s="99" t="s">
        <v>1063</v>
      </c>
    </row>
  </sheetData>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r:uid="{66CB8AAA-6DCD-485D-B5A3-3AA4A4B64EB3}">
          <x14:formula1>
            <xm:f>Ecoles!$A$2:$A$75</xm:f>
          </x14:formula1>
          <xm:sqref>F515:F591</xm:sqref>
        </x14:dataValidation>
        <x14:dataValidation type="list" allowBlank="1" showInputMessage="1" showErrorMessage="1" xr:uid="{137A66A0-BA39-4C8F-AE6C-A9D704E19781}">
          <x14:formula1>
            <xm:f>Ecoles!$A$2:$A$700</xm:f>
          </x14:formula1>
          <xm:sqref>F2:F514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27"/>
  <sheetViews>
    <sheetView topLeftCell="A94" zoomScale="84" workbookViewId="0">
      <selection activeCell="I117" sqref="I117"/>
    </sheetView>
  </sheetViews>
  <sheetFormatPr baseColWidth="10" defaultRowHeight="15" x14ac:dyDescent="0.25"/>
  <cols>
    <col min="1" max="1" width="19.28515625" customWidth="1"/>
    <col min="2" max="2" width="16.5703125" customWidth="1"/>
    <col min="6" max="6" width="42.28515625" customWidth="1"/>
    <col min="8" max="8" width="32.28515625" customWidth="1"/>
    <col min="9" max="9" width="96.7109375" customWidth="1"/>
  </cols>
  <sheetData>
    <row r="1" spans="1:14" x14ac:dyDescent="0.25">
      <c r="A1" s="1" t="s">
        <v>275</v>
      </c>
      <c r="B1" s="1" t="s">
        <v>75</v>
      </c>
      <c r="C1" s="2" t="s">
        <v>76</v>
      </c>
      <c r="D1" s="2" t="s">
        <v>77</v>
      </c>
      <c r="E1" s="2" t="s">
        <v>78</v>
      </c>
      <c r="F1" s="2" t="s">
        <v>79</v>
      </c>
      <c r="H1" s="2" t="s">
        <v>81</v>
      </c>
      <c r="I1" s="37" t="s">
        <v>82</v>
      </c>
    </row>
    <row r="2" spans="1:14" x14ac:dyDescent="0.25">
      <c r="A2" s="1" t="s">
        <v>1007</v>
      </c>
      <c r="B2" s="1" t="str">
        <f t="shared" ref="B2" si="0">LEFT(A2)</f>
        <v>C</v>
      </c>
      <c r="C2" s="64" t="s">
        <v>96</v>
      </c>
      <c r="D2" s="64">
        <v>2026</v>
      </c>
      <c r="E2" s="64" t="s">
        <v>8</v>
      </c>
      <c r="F2" s="1" t="s">
        <v>1008</v>
      </c>
      <c r="H2" s="83"/>
      <c r="I2" s="83"/>
    </row>
    <row r="3" spans="1:14" x14ac:dyDescent="0.25">
      <c r="A3" s="1" t="s">
        <v>1005</v>
      </c>
      <c r="B3" s="1" t="str">
        <f t="shared" ref="B3" si="1">LEFT(A3)</f>
        <v>C</v>
      </c>
      <c r="C3" s="64" t="s">
        <v>1006</v>
      </c>
      <c r="D3" s="64">
        <v>2026</v>
      </c>
      <c r="E3" s="64" t="s">
        <v>8</v>
      </c>
      <c r="F3" s="1" t="s">
        <v>115</v>
      </c>
      <c r="H3" s="83"/>
      <c r="I3" s="83"/>
    </row>
    <row r="4" spans="1:14" x14ac:dyDescent="0.25">
      <c r="A4" s="1" t="s">
        <v>1003</v>
      </c>
      <c r="B4" s="1" t="str">
        <f t="shared" ref="B4" si="2">LEFT(A4)</f>
        <v>B</v>
      </c>
      <c r="C4" s="64" t="s">
        <v>1004</v>
      </c>
      <c r="D4" s="64">
        <v>2026</v>
      </c>
      <c r="E4" s="64" t="s">
        <v>8</v>
      </c>
      <c r="F4" s="1" t="s">
        <v>115</v>
      </c>
      <c r="H4" s="83"/>
      <c r="I4" s="83"/>
    </row>
    <row r="5" spans="1:14" x14ac:dyDescent="0.25">
      <c r="A5" s="1" t="s">
        <v>1002</v>
      </c>
      <c r="B5" s="1" t="str">
        <f t="shared" ref="B5" si="3">LEFT(A5)</f>
        <v>M</v>
      </c>
      <c r="C5" s="64" t="s">
        <v>406</v>
      </c>
      <c r="D5" s="64">
        <v>2026</v>
      </c>
      <c r="E5" s="64" t="s">
        <v>8</v>
      </c>
      <c r="F5" s="1" t="s">
        <v>115</v>
      </c>
      <c r="H5" s="83"/>
      <c r="I5" s="83"/>
    </row>
    <row r="6" spans="1:14" x14ac:dyDescent="0.25">
      <c r="A6" s="1" t="s">
        <v>1001</v>
      </c>
      <c r="B6" s="1" t="str">
        <f t="shared" ref="B6" si="4">LEFT(A6)</f>
        <v>M</v>
      </c>
      <c r="C6" s="64" t="s">
        <v>234</v>
      </c>
      <c r="D6" s="64">
        <v>2026</v>
      </c>
      <c r="E6" s="64" t="s">
        <v>8</v>
      </c>
      <c r="F6" s="1" t="s">
        <v>115</v>
      </c>
      <c r="H6" s="83"/>
      <c r="I6" s="83"/>
    </row>
    <row r="7" spans="1:14" x14ac:dyDescent="0.25">
      <c r="A7" s="1" t="s">
        <v>974</v>
      </c>
      <c r="B7" s="1" t="str">
        <f t="shared" ref="B7" si="5">LEFT(A7)</f>
        <v>C</v>
      </c>
      <c r="C7" s="64" t="s">
        <v>125</v>
      </c>
      <c r="D7" s="64">
        <v>2026</v>
      </c>
      <c r="E7" s="64" t="s">
        <v>8</v>
      </c>
      <c r="F7" s="1" t="s">
        <v>267</v>
      </c>
      <c r="H7" s="83"/>
      <c r="I7" s="83"/>
    </row>
    <row r="8" spans="1:14" x14ac:dyDescent="0.25">
      <c r="A8" s="1" t="s">
        <v>971</v>
      </c>
      <c r="B8" s="1" t="str">
        <f t="shared" ref="B8" si="6">LEFT(A8)</f>
        <v>M</v>
      </c>
      <c r="C8" s="64" t="s">
        <v>96</v>
      </c>
      <c r="D8" s="64">
        <v>2026</v>
      </c>
      <c r="E8" s="64" t="s">
        <v>8</v>
      </c>
      <c r="F8" s="1" t="s">
        <v>115</v>
      </c>
      <c r="H8" s="83"/>
      <c r="I8" s="83"/>
    </row>
    <row r="9" spans="1:14" x14ac:dyDescent="0.25">
      <c r="A9" s="1" t="s">
        <v>970</v>
      </c>
      <c r="B9" s="1" t="str">
        <f t="shared" ref="B9" si="7">LEFT(A9)</f>
        <v>B</v>
      </c>
      <c r="C9" s="64" t="s">
        <v>421</v>
      </c>
      <c r="D9" s="64">
        <v>2026</v>
      </c>
      <c r="E9" s="64" t="s">
        <v>8</v>
      </c>
      <c r="F9" s="1" t="s">
        <v>122</v>
      </c>
      <c r="H9" s="83"/>
      <c r="I9" s="83"/>
    </row>
    <row r="10" spans="1:14" x14ac:dyDescent="0.25">
      <c r="A10" s="1" t="s">
        <v>959</v>
      </c>
      <c r="B10" s="1" t="str">
        <f t="shared" ref="B10" si="8">LEFT(A10)</f>
        <v>B</v>
      </c>
      <c r="C10" s="64" t="s">
        <v>960</v>
      </c>
      <c r="D10" s="64">
        <v>2026</v>
      </c>
      <c r="E10" s="64" t="s">
        <v>8</v>
      </c>
      <c r="F10" s="1" t="s">
        <v>961</v>
      </c>
      <c r="H10" s="74"/>
      <c r="I10" s="74"/>
    </row>
    <row r="11" spans="1:14" x14ac:dyDescent="0.25">
      <c r="A11" s="1" t="s">
        <v>276</v>
      </c>
      <c r="B11" s="1" t="str">
        <f t="shared" ref="B11:B42" si="9">LEFT(A11)</f>
        <v>G</v>
      </c>
      <c r="C11" s="64" t="s">
        <v>277</v>
      </c>
      <c r="D11" s="64">
        <v>2026</v>
      </c>
      <c r="E11" s="64" t="s">
        <v>8</v>
      </c>
      <c r="F11" s="1" t="s">
        <v>136</v>
      </c>
      <c r="H11" s="64"/>
      <c r="I11" s="64"/>
    </row>
    <row r="12" spans="1:14" x14ac:dyDescent="0.25">
      <c r="A12" s="1" t="s">
        <v>278</v>
      </c>
      <c r="B12" s="1" t="str">
        <f t="shared" si="9"/>
        <v>R</v>
      </c>
      <c r="C12" s="64" t="s">
        <v>279</v>
      </c>
      <c r="D12" s="64">
        <v>2026</v>
      </c>
      <c r="E12" s="64" t="s">
        <v>8</v>
      </c>
      <c r="F12" s="1" t="s">
        <v>194</v>
      </c>
      <c r="H12" s="64"/>
      <c r="I12" s="64"/>
    </row>
    <row r="13" spans="1:14" x14ac:dyDescent="0.25">
      <c r="A13" s="1" t="s">
        <v>280</v>
      </c>
      <c r="B13" s="1" t="str">
        <f t="shared" si="9"/>
        <v>B</v>
      </c>
      <c r="C13" s="1" t="s">
        <v>207</v>
      </c>
      <c r="D13" s="1">
        <v>2025</v>
      </c>
      <c r="E13" s="1" t="s">
        <v>8</v>
      </c>
      <c r="F13" s="1" t="s">
        <v>188</v>
      </c>
    </row>
    <row r="14" spans="1:14" x14ac:dyDescent="0.25">
      <c r="A14" s="1" t="s">
        <v>281</v>
      </c>
      <c r="B14" s="1" t="str">
        <f t="shared" si="9"/>
        <v>C</v>
      </c>
      <c r="C14" s="1" t="s">
        <v>282</v>
      </c>
      <c r="D14" s="1">
        <v>2025</v>
      </c>
      <c r="E14" s="1" t="s">
        <v>8</v>
      </c>
      <c r="F14" s="1" t="s">
        <v>283</v>
      </c>
    </row>
    <row r="15" spans="1:14" x14ac:dyDescent="0.25">
      <c r="A15" s="1" t="s">
        <v>284</v>
      </c>
      <c r="B15" s="1" t="str">
        <f t="shared" si="9"/>
        <v>D</v>
      </c>
      <c r="C15" s="1" t="s">
        <v>285</v>
      </c>
      <c r="D15" s="1">
        <v>2025</v>
      </c>
      <c r="E15" s="1" t="s">
        <v>8</v>
      </c>
      <c r="F15" s="1" t="s">
        <v>232</v>
      </c>
      <c r="I15" s="1"/>
      <c r="J15" s="1"/>
      <c r="K15" s="64"/>
      <c r="L15" s="64"/>
      <c r="M15" s="64"/>
      <c r="N15" s="1"/>
    </row>
    <row r="16" spans="1:14" x14ac:dyDescent="0.25">
      <c r="A16" s="1" t="s">
        <v>286</v>
      </c>
      <c r="B16" s="4" t="str">
        <f t="shared" si="9"/>
        <v>F</v>
      </c>
      <c r="C16" s="1" t="s">
        <v>287</v>
      </c>
      <c r="D16" s="1">
        <v>2025</v>
      </c>
      <c r="E16" s="1" t="s">
        <v>8</v>
      </c>
      <c r="F16" s="1" t="s">
        <v>188</v>
      </c>
    </row>
    <row r="17" spans="1:6" x14ac:dyDescent="0.25">
      <c r="A17" s="1" t="s">
        <v>288</v>
      </c>
      <c r="B17" s="4" t="str">
        <f t="shared" si="9"/>
        <v>S</v>
      </c>
      <c r="C17" s="1" t="s">
        <v>289</v>
      </c>
      <c r="D17" s="1">
        <v>2025</v>
      </c>
      <c r="E17" s="1" t="s">
        <v>8</v>
      </c>
      <c r="F17" s="1" t="s">
        <v>104</v>
      </c>
    </row>
    <row r="18" spans="1:6" x14ac:dyDescent="0.25">
      <c r="A18" s="1" t="s">
        <v>290</v>
      </c>
      <c r="B18" s="4" t="str">
        <f t="shared" si="9"/>
        <v>U</v>
      </c>
      <c r="C18" s="1" t="s">
        <v>291</v>
      </c>
      <c r="D18" s="1">
        <v>2025</v>
      </c>
      <c r="E18" s="1" t="s">
        <v>8</v>
      </c>
      <c r="F18" s="1" t="s">
        <v>91</v>
      </c>
    </row>
    <row r="19" spans="1:6" x14ac:dyDescent="0.25">
      <c r="A19" s="1" t="s">
        <v>292</v>
      </c>
      <c r="B19" s="4" t="str">
        <f t="shared" si="9"/>
        <v>W</v>
      </c>
      <c r="C19" s="1" t="s">
        <v>293</v>
      </c>
      <c r="D19" s="1">
        <v>2025</v>
      </c>
      <c r="E19" s="1" t="s">
        <v>8</v>
      </c>
      <c r="F19" s="1" t="s">
        <v>37</v>
      </c>
    </row>
    <row r="20" spans="1:6" x14ac:dyDescent="0.25">
      <c r="A20" s="1" t="s">
        <v>294</v>
      </c>
      <c r="B20" s="4" t="str">
        <f t="shared" si="9"/>
        <v>T</v>
      </c>
      <c r="C20" s="1" t="s">
        <v>295</v>
      </c>
      <c r="D20" s="1">
        <v>2025</v>
      </c>
      <c r="E20" s="1" t="s">
        <v>8</v>
      </c>
      <c r="F20" s="1" t="s">
        <v>37</v>
      </c>
    </row>
    <row r="21" spans="1:6" x14ac:dyDescent="0.25">
      <c r="A21" s="1" t="s">
        <v>105</v>
      </c>
      <c r="B21" s="4" t="str">
        <f t="shared" si="9"/>
        <v>G</v>
      </c>
      <c r="C21" s="1" t="s">
        <v>296</v>
      </c>
      <c r="D21" s="1">
        <v>2025</v>
      </c>
      <c r="E21" s="1" t="s">
        <v>8</v>
      </c>
      <c r="F21" s="1" t="s">
        <v>122</v>
      </c>
    </row>
    <row r="22" spans="1:6" x14ac:dyDescent="0.25">
      <c r="A22" s="1" t="s">
        <v>297</v>
      </c>
      <c r="B22" s="4" t="str">
        <f t="shared" si="9"/>
        <v>S</v>
      </c>
      <c r="C22" s="1" t="s">
        <v>298</v>
      </c>
      <c r="D22" s="1">
        <v>2025</v>
      </c>
      <c r="E22" s="1" t="s">
        <v>8</v>
      </c>
      <c r="F22" s="1" t="s">
        <v>115</v>
      </c>
    </row>
    <row r="23" spans="1:6" x14ac:dyDescent="0.25">
      <c r="A23" s="1" t="s">
        <v>299</v>
      </c>
      <c r="B23" s="4" t="str">
        <f t="shared" si="9"/>
        <v>B</v>
      </c>
      <c r="C23" s="1" t="s">
        <v>300</v>
      </c>
      <c r="D23" s="1">
        <v>2024</v>
      </c>
      <c r="E23" s="1" t="s">
        <v>8</v>
      </c>
      <c r="F23" s="1" t="s">
        <v>115</v>
      </c>
    </row>
    <row r="24" spans="1:6" x14ac:dyDescent="0.25">
      <c r="A24" s="1" t="s">
        <v>301</v>
      </c>
      <c r="B24" s="4" t="str">
        <f t="shared" si="9"/>
        <v>E</v>
      </c>
      <c r="C24" s="1" t="s">
        <v>302</v>
      </c>
      <c r="D24" s="1">
        <v>2024</v>
      </c>
      <c r="E24" s="1" t="s">
        <v>8</v>
      </c>
      <c r="F24" s="1" t="s">
        <v>122</v>
      </c>
    </row>
    <row r="25" spans="1:6" x14ac:dyDescent="0.25">
      <c r="A25" s="1" t="s">
        <v>303</v>
      </c>
      <c r="B25" s="4" t="str">
        <f t="shared" si="9"/>
        <v>G</v>
      </c>
      <c r="C25" s="1" t="s">
        <v>304</v>
      </c>
      <c r="D25" s="1">
        <v>2024</v>
      </c>
      <c r="E25" s="1" t="s">
        <v>8</v>
      </c>
      <c r="F25" s="1" t="s">
        <v>115</v>
      </c>
    </row>
    <row r="26" spans="1:6" x14ac:dyDescent="0.25">
      <c r="A26" s="1" t="s">
        <v>305</v>
      </c>
      <c r="B26" s="4" t="str">
        <f t="shared" si="9"/>
        <v>H</v>
      </c>
      <c r="C26" s="1" t="s">
        <v>306</v>
      </c>
      <c r="D26" s="1">
        <v>2024</v>
      </c>
      <c r="E26" s="1" t="s">
        <v>8</v>
      </c>
      <c r="F26" s="1" t="s">
        <v>115</v>
      </c>
    </row>
    <row r="27" spans="1:6" x14ac:dyDescent="0.25">
      <c r="A27" s="1" t="s">
        <v>307</v>
      </c>
      <c r="B27" s="4" t="str">
        <f t="shared" si="9"/>
        <v>P</v>
      </c>
      <c r="C27" s="1" t="s">
        <v>308</v>
      </c>
      <c r="D27" s="1">
        <v>2024</v>
      </c>
      <c r="E27" s="1" t="s">
        <v>8</v>
      </c>
      <c r="F27" s="1" t="s">
        <v>126</v>
      </c>
    </row>
    <row r="28" spans="1:6" x14ac:dyDescent="0.25">
      <c r="A28" s="1" t="s">
        <v>309</v>
      </c>
      <c r="B28" s="4" t="str">
        <f t="shared" si="9"/>
        <v>R</v>
      </c>
      <c r="C28" s="1" t="s">
        <v>310</v>
      </c>
      <c r="D28" s="1">
        <v>2024</v>
      </c>
      <c r="E28" s="1" t="s">
        <v>8</v>
      </c>
      <c r="F28" s="1" t="s">
        <v>145</v>
      </c>
    </row>
    <row r="29" spans="1:6" x14ac:dyDescent="0.25">
      <c r="A29" s="1" t="s">
        <v>311</v>
      </c>
      <c r="B29" s="4" t="str">
        <f t="shared" si="9"/>
        <v>L</v>
      </c>
      <c r="C29" s="1" t="s">
        <v>312</v>
      </c>
      <c r="D29" s="1">
        <v>2024</v>
      </c>
      <c r="E29" s="1" t="s">
        <v>8</v>
      </c>
      <c r="F29" s="1" t="s">
        <v>126</v>
      </c>
    </row>
    <row r="30" spans="1:6" x14ac:dyDescent="0.25">
      <c r="A30" t="s">
        <v>313</v>
      </c>
      <c r="B30" s="4" t="str">
        <f t="shared" si="9"/>
        <v>M</v>
      </c>
      <c r="C30" t="s">
        <v>314</v>
      </c>
      <c r="D30" s="1">
        <v>2024</v>
      </c>
      <c r="E30" s="1" t="s">
        <v>8</v>
      </c>
      <c r="F30" s="1" t="s">
        <v>115</v>
      </c>
    </row>
    <row r="31" spans="1:6" x14ac:dyDescent="0.25">
      <c r="A31" s="7" t="s">
        <v>315</v>
      </c>
      <c r="B31" s="4" t="str">
        <f t="shared" si="9"/>
        <v>R</v>
      </c>
      <c r="C31" t="s">
        <v>101</v>
      </c>
      <c r="D31" s="1">
        <v>2024</v>
      </c>
      <c r="E31" s="1" t="s">
        <v>8</v>
      </c>
      <c r="F31" s="1" t="s">
        <v>104</v>
      </c>
    </row>
    <row r="32" spans="1:6" x14ac:dyDescent="0.25">
      <c r="A32" s="1" t="s">
        <v>316</v>
      </c>
      <c r="B32" s="4" t="str">
        <f t="shared" si="9"/>
        <v>F</v>
      </c>
      <c r="C32" t="s">
        <v>317</v>
      </c>
      <c r="D32" s="1">
        <v>2023</v>
      </c>
      <c r="E32" s="1" t="s">
        <v>8</v>
      </c>
      <c r="F32" s="1" t="s">
        <v>112</v>
      </c>
    </row>
    <row r="33" spans="1:8" x14ac:dyDescent="0.25">
      <c r="A33" s="1" t="s">
        <v>318</v>
      </c>
      <c r="B33" s="4" t="str">
        <f t="shared" si="9"/>
        <v>G</v>
      </c>
      <c r="C33" t="s">
        <v>319</v>
      </c>
      <c r="D33" s="1">
        <v>2023</v>
      </c>
      <c r="E33" s="1" t="s">
        <v>8</v>
      </c>
      <c r="F33" s="1" t="s">
        <v>122</v>
      </c>
    </row>
    <row r="34" spans="1:8" x14ac:dyDescent="0.25">
      <c r="A34" t="s">
        <v>320</v>
      </c>
      <c r="B34" s="4" t="str">
        <f t="shared" si="9"/>
        <v>J</v>
      </c>
      <c r="C34" s="1" t="s">
        <v>149</v>
      </c>
      <c r="D34" s="1">
        <v>2023</v>
      </c>
      <c r="E34" s="1" t="s">
        <v>8</v>
      </c>
      <c r="F34" s="1" t="s">
        <v>258</v>
      </c>
    </row>
    <row r="35" spans="1:8" x14ac:dyDescent="0.25">
      <c r="A35" s="1" t="s">
        <v>321</v>
      </c>
      <c r="B35" s="4" t="str">
        <f t="shared" si="9"/>
        <v>L</v>
      </c>
      <c r="C35" t="s">
        <v>277</v>
      </c>
      <c r="D35" s="1">
        <v>2023</v>
      </c>
      <c r="E35" s="1" t="s">
        <v>8</v>
      </c>
      <c r="F35" s="1" t="s">
        <v>322</v>
      </c>
    </row>
    <row r="36" spans="1:8" x14ac:dyDescent="0.25">
      <c r="A36" t="s">
        <v>323</v>
      </c>
      <c r="B36" s="4" t="str">
        <f t="shared" si="9"/>
        <v>P</v>
      </c>
      <c r="C36" t="s">
        <v>262</v>
      </c>
      <c r="D36" s="1">
        <v>2023</v>
      </c>
      <c r="E36" s="1" t="s">
        <v>8</v>
      </c>
      <c r="F36" s="1" t="s">
        <v>324</v>
      </c>
    </row>
    <row r="37" spans="1:8" x14ac:dyDescent="0.25">
      <c r="A37" s="7" t="s">
        <v>325</v>
      </c>
      <c r="B37" s="4" t="str">
        <f t="shared" si="9"/>
        <v>S</v>
      </c>
      <c r="C37" s="7" t="s">
        <v>326</v>
      </c>
      <c r="D37" s="1">
        <v>2023</v>
      </c>
      <c r="E37" s="1" t="s">
        <v>8</v>
      </c>
      <c r="F37" t="s">
        <v>126</v>
      </c>
      <c r="H37" s="39" t="s">
        <v>1015</v>
      </c>
    </row>
    <row r="38" spans="1:8" x14ac:dyDescent="0.25">
      <c r="A38" s="7" t="s">
        <v>327</v>
      </c>
      <c r="B38" s="4" t="str">
        <f t="shared" si="9"/>
        <v>V</v>
      </c>
      <c r="C38" s="7" t="s">
        <v>328</v>
      </c>
      <c r="D38" s="1">
        <v>2023</v>
      </c>
      <c r="E38" s="1" t="s">
        <v>8</v>
      </c>
      <c r="F38" t="s">
        <v>112</v>
      </c>
    </row>
    <row r="39" spans="1:8" x14ac:dyDescent="0.25">
      <c r="A39" s="7" t="s">
        <v>329</v>
      </c>
      <c r="B39" s="4" t="str">
        <f t="shared" si="9"/>
        <v>B</v>
      </c>
      <c r="C39" s="7" t="s">
        <v>330</v>
      </c>
      <c r="D39" s="1">
        <v>2023</v>
      </c>
      <c r="E39" s="1" t="s">
        <v>8</v>
      </c>
      <c r="F39" t="s">
        <v>112</v>
      </c>
    </row>
    <row r="40" spans="1:8" x14ac:dyDescent="0.25">
      <c r="A40" s="7" t="s">
        <v>331</v>
      </c>
      <c r="B40" s="4" t="str">
        <f t="shared" si="9"/>
        <v>D</v>
      </c>
      <c r="C40" s="7" t="s">
        <v>229</v>
      </c>
      <c r="D40" s="1">
        <v>2023</v>
      </c>
      <c r="E40" s="1" t="s">
        <v>8</v>
      </c>
      <c r="F40" t="s">
        <v>104</v>
      </c>
    </row>
    <row r="41" spans="1:8" x14ac:dyDescent="0.25">
      <c r="A41" s="7" t="s">
        <v>332</v>
      </c>
      <c r="B41" s="4" t="str">
        <f t="shared" si="9"/>
        <v>B</v>
      </c>
      <c r="C41" t="s">
        <v>333</v>
      </c>
      <c r="D41" s="1">
        <v>2022</v>
      </c>
      <c r="E41" s="1" t="s">
        <v>8</v>
      </c>
      <c r="F41" t="s">
        <v>334</v>
      </c>
    </row>
    <row r="42" spans="1:8" x14ac:dyDescent="0.25">
      <c r="A42" s="7" t="s">
        <v>335</v>
      </c>
      <c r="B42" s="4" t="str">
        <f t="shared" si="9"/>
        <v>C</v>
      </c>
      <c r="C42" s="7" t="s">
        <v>336</v>
      </c>
      <c r="D42" s="1">
        <v>2022</v>
      </c>
      <c r="E42" s="1" t="s">
        <v>8</v>
      </c>
      <c r="F42" t="s">
        <v>112</v>
      </c>
    </row>
    <row r="43" spans="1:8" x14ac:dyDescent="0.25">
      <c r="A43" s="7" t="s">
        <v>337</v>
      </c>
      <c r="B43" s="4" t="str">
        <f t="shared" ref="B43:B74" si="10">LEFT(A43)</f>
        <v>C</v>
      </c>
      <c r="C43" s="7" t="s">
        <v>338</v>
      </c>
      <c r="D43" s="1">
        <v>2022</v>
      </c>
      <c r="E43" s="1" t="s">
        <v>8</v>
      </c>
      <c r="F43" t="s">
        <v>112</v>
      </c>
    </row>
    <row r="44" spans="1:8" x14ac:dyDescent="0.25">
      <c r="A44" s="7" t="s">
        <v>339</v>
      </c>
      <c r="B44" s="4" t="str">
        <f t="shared" si="10"/>
        <v>F</v>
      </c>
      <c r="C44" s="7" t="s">
        <v>101</v>
      </c>
      <c r="D44" s="1">
        <v>2022</v>
      </c>
      <c r="E44" s="1" t="s">
        <v>8</v>
      </c>
      <c r="F44" t="s">
        <v>340</v>
      </c>
    </row>
    <row r="45" spans="1:8" x14ac:dyDescent="0.25">
      <c r="A45" s="7" t="s">
        <v>341</v>
      </c>
      <c r="B45" s="4" t="str">
        <f t="shared" si="10"/>
        <v>G</v>
      </c>
      <c r="C45" s="7" t="s">
        <v>342</v>
      </c>
      <c r="D45" s="1">
        <v>2022</v>
      </c>
      <c r="E45" s="1" t="s">
        <v>8</v>
      </c>
      <c r="F45" t="s">
        <v>188</v>
      </c>
    </row>
    <row r="46" spans="1:8" x14ac:dyDescent="0.25">
      <c r="A46" s="7" t="s">
        <v>343</v>
      </c>
      <c r="B46" s="1" t="str">
        <f t="shared" si="10"/>
        <v>J</v>
      </c>
      <c r="C46" s="7" t="s">
        <v>344</v>
      </c>
      <c r="D46" s="1">
        <v>2022</v>
      </c>
      <c r="E46" s="1" t="s">
        <v>8</v>
      </c>
      <c r="F46" t="s">
        <v>345</v>
      </c>
    </row>
    <row r="47" spans="1:8" x14ac:dyDescent="0.25">
      <c r="A47" s="7" t="s">
        <v>346</v>
      </c>
      <c r="B47" s="1" t="str">
        <f t="shared" si="10"/>
        <v>L</v>
      </c>
      <c r="C47" s="7" t="s">
        <v>347</v>
      </c>
      <c r="D47" s="1">
        <v>2022</v>
      </c>
      <c r="E47" s="1" t="s">
        <v>8</v>
      </c>
      <c r="F47" t="s">
        <v>283</v>
      </c>
    </row>
    <row r="48" spans="1:8" x14ac:dyDescent="0.25">
      <c r="A48" s="7" t="s">
        <v>348</v>
      </c>
      <c r="B48" s="1" t="str">
        <f t="shared" si="10"/>
        <v>R</v>
      </c>
      <c r="C48" s="7" t="s">
        <v>349</v>
      </c>
      <c r="D48" s="1">
        <v>2022</v>
      </c>
      <c r="E48" s="1" t="s">
        <v>8</v>
      </c>
      <c r="F48" t="s">
        <v>104</v>
      </c>
    </row>
    <row r="49" spans="1:9" x14ac:dyDescent="0.25">
      <c r="A49" s="7" t="s">
        <v>350</v>
      </c>
      <c r="B49" s="1" t="str">
        <f t="shared" si="10"/>
        <v>V</v>
      </c>
      <c r="C49" s="7" t="s">
        <v>342</v>
      </c>
      <c r="D49" s="1">
        <v>2022</v>
      </c>
      <c r="E49" s="1" t="s">
        <v>8</v>
      </c>
      <c r="F49" t="s">
        <v>267</v>
      </c>
    </row>
    <row r="50" spans="1:9" x14ac:dyDescent="0.25">
      <c r="A50" t="s">
        <v>351</v>
      </c>
      <c r="B50" s="1" t="str">
        <f t="shared" si="10"/>
        <v>W</v>
      </c>
      <c r="C50" s="7" t="s">
        <v>352</v>
      </c>
      <c r="D50" s="1">
        <v>2022</v>
      </c>
      <c r="E50" s="1" t="s">
        <v>8</v>
      </c>
      <c r="F50" t="s">
        <v>353</v>
      </c>
    </row>
    <row r="51" spans="1:9" x14ac:dyDescent="0.25">
      <c r="A51" s="7" t="s">
        <v>354</v>
      </c>
      <c r="B51" s="1" t="str">
        <f t="shared" si="10"/>
        <v>B</v>
      </c>
      <c r="C51" s="7" t="s">
        <v>355</v>
      </c>
      <c r="D51" s="1">
        <v>2022</v>
      </c>
      <c r="E51" s="1" t="s">
        <v>8</v>
      </c>
      <c r="F51" t="s">
        <v>324</v>
      </c>
    </row>
    <row r="52" spans="1:9" x14ac:dyDescent="0.25">
      <c r="A52" s="7" t="s">
        <v>356</v>
      </c>
      <c r="B52" s="1" t="str">
        <f t="shared" si="10"/>
        <v>M</v>
      </c>
      <c r="C52" s="7" t="s">
        <v>133</v>
      </c>
      <c r="D52" s="1">
        <v>2022</v>
      </c>
      <c r="E52" s="1" t="s">
        <v>8</v>
      </c>
      <c r="F52" t="s">
        <v>188</v>
      </c>
    </row>
    <row r="53" spans="1:9" x14ac:dyDescent="0.25">
      <c r="A53" s="7" t="s">
        <v>357</v>
      </c>
      <c r="B53" s="1" t="str">
        <f t="shared" si="10"/>
        <v>P</v>
      </c>
      <c r="C53" s="7" t="s">
        <v>358</v>
      </c>
      <c r="D53" s="1">
        <v>2022</v>
      </c>
      <c r="E53" s="1" t="s">
        <v>8</v>
      </c>
      <c r="F53" t="s">
        <v>188</v>
      </c>
    </row>
    <row r="54" spans="1:9" x14ac:dyDescent="0.25">
      <c r="A54" s="7" t="s">
        <v>359</v>
      </c>
      <c r="B54" s="1" t="str">
        <f t="shared" si="10"/>
        <v>B</v>
      </c>
      <c r="C54" s="7" t="s">
        <v>149</v>
      </c>
      <c r="D54" s="1">
        <v>2021</v>
      </c>
      <c r="E54" s="1" t="s">
        <v>8</v>
      </c>
      <c r="F54" t="s">
        <v>115</v>
      </c>
      <c r="I54" s="39" t="s">
        <v>999</v>
      </c>
    </row>
    <row r="55" spans="1:9" x14ac:dyDescent="0.25">
      <c r="A55" s="7" t="s">
        <v>360</v>
      </c>
      <c r="B55" s="1" t="str">
        <f t="shared" si="10"/>
        <v>E</v>
      </c>
      <c r="C55" s="7" t="s">
        <v>361</v>
      </c>
      <c r="D55" s="1">
        <v>2021</v>
      </c>
      <c r="E55" s="1" t="s">
        <v>8</v>
      </c>
      <c r="F55" t="s">
        <v>232</v>
      </c>
    </row>
    <row r="56" spans="1:9" x14ac:dyDescent="0.25">
      <c r="A56" s="7" t="s">
        <v>362</v>
      </c>
      <c r="B56" s="1" t="str">
        <f t="shared" si="10"/>
        <v>R</v>
      </c>
      <c r="C56" s="7" t="s">
        <v>269</v>
      </c>
      <c r="D56" s="1">
        <v>2021</v>
      </c>
      <c r="E56" s="1" t="s">
        <v>8</v>
      </c>
      <c r="F56" t="s">
        <v>145</v>
      </c>
      <c r="H56" s="39" t="s">
        <v>363</v>
      </c>
      <c r="I56" s="39" t="s">
        <v>364</v>
      </c>
    </row>
    <row r="57" spans="1:9" x14ac:dyDescent="0.25">
      <c r="A57" s="7" t="s">
        <v>365</v>
      </c>
      <c r="B57" s="1" t="str">
        <f t="shared" si="10"/>
        <v>R</v>
      </c>
      <c r="C57" s="7" t="s">
        <v>269</v>
      </c>
      <c r="D57" s="1">
        <v>2021</v>
      </c>
      <c r="E57" s="1" t="s">
        <v>8</v>
      </c>
      <c r="F57" t="s">
        <v>126</v>
      </c>
    </row>
    <row r="58" spans="1:9" x14ac:dyDescent="0.25">
      <c r="A58" s="7" t="s">
        <v>288</v>
      </c>
      <c r="B58" s="1" t="str">
        <f t="shared" si="10"/>
        <v>S</v>
      </c>
      <c r="C58" s="7" t="s">
        <v>366</v>
      </c>
      <c r="D58" s="1">
        <v>2021</v>
      </c>
      <c r="E58" s="1" t="s">
        <v>8</v>
      </c>
      <c r="F58" t="s">
        <v>142</v>
      </c>
    </row>
    <row r="59" spans="1:9" x14ac:dyDescent="0.25">
      <c r="A59" s="7" t="s">
        <v>367</v>
      </c>
      <c r="B59" s="1" t="str">
        <f t="shared" si="10"/>
        <v>A</v>
      </c>
      <c r="C59" s="7" t="s">
        <v>255</v>
      </c>
      <c r="D59" s="1">
        <v>2021</v>
      </c>
      <c r="E59" s="1" t="s">
        <v>8</v>
      </c>
      <c r="F59" t="s">
        <v>258</v>
      </c>
    </row>
    <row r="60" spans="1:9" x14ac:dyDescent="0.25">
      <c r="A60" s="7" t="s">
        <v>368</v>
      </c>
      <c r="B60" s="1" t="str">
        <f t="shared" si="10"/>
        <v>B</v>
      </c>
      <c r="C60" s="7" t="s">
        <v>369</v>
      </c>
      <c r="D60" s="1">
        <v>2021</v>
      </c>
      <c r="E60" s="1" t="s">
        <v>8</v>
      </c>
      <c r="F60" t="s">
        <v>370</v>
      </c>
    </row>
    <row r="61" spans="1:9" x14ac:dyDescent="0.25">
      <c r="A61" s="7" t="s">
        <v>371</v>
      </c>
      <c r="B61" s="1" t="str">
        <f t="shared" si="10"/>
        <v>K</v>
      </c>
      <c r="C61" s="7" t="s">
        <v>372</v>
      </c>
      <c r="D61" s="1">
        <v>2021</v>
      </c>
      <c r="E61" s="1" t="s">
        <v>8</v>
      </c>
      <c r="F61" t="s">
        <v>122</v>
      </c>
    </row>
    <row r="62" spans="1:9" x14ac:dyDescent="0.25">
      <c r="A62" s="7" t="s">
        <v>373</v>
      </c>
      <c r="B62" s="1" t="str">
        <f t="shared" si="10"/>
        <v>L</v>
      </c>
      <c r="C62" s="7" t="s">
        <v>374</v>
      </c>
      <c r="D62" s="1">
        <v>2021</v>
      </c>
      <c r="E62" s="1" t="s">
        <v>8</v>
      </c>
      <c r="F62" t="s">
        <v>340</v>
      </c>
    </row>
    <row r="63" spans="1:9" x14ac:dyDescent="0.25">
      <c r="A63" s="7" t="s">
        <v>375</v>
      </c>
      <c r="B63" s="1" t="str">
        <f t="shared" si="10"/>
        <v>L</v>
      </c>
      <c r="C63" s="7" t="s">
        <v>376</v>
      </c>
      <c r="D63" s="1">
        <v>2021</v>
      </c>
      <c r="E63" s="1" t="s">
        <v>8</v>
      </c>
      <c r="F63" t="s">
        <v>115</v>
      </c>
      <c r="I63" s="39" t="s">
        <v>1000</v>
      </c>
    </row>
    <row r="64" spans="1:9" x14ac:dyDescent="0.25">
      <c r="A64" s="7" t="s">
        <v>377</v>
      </c>
      <c r="B64" s="1" t="str">
        <f t="shared" si="10"/>
        <v>P</v>
      </c>
      <c r="C64" s="7" t="s">
        <v>133</v>
      </c>
      <c r="D64" s="1">
        <v>2021</v>
      </c>
      <c r="E64" s="1" t="s">
        <v>8</v>
      </c>
      <c r="F64" t="s">
        <v>112</v>
      </c>
    </row>
    <row r="65" spans="1:9" x14ac:dyDescent="0.25">
      <c r="A65" t="s">
        <v>378</v>
      </c>
      <c r="B65" s="1" t="str">
        <f t="shared" si="10"/>
        <v>P</v>
      </c>
      <c r="C65" t="s">
        <v>379</v>
      </c>
      <c r="D65" s="1">
        <v>2021</v>
      </c>
      <c r="E65" s="1" t="s">
        <v>8</v>
      </c>
      <c r="F65" t="s">
        <v>122</v>
      </c>
    </row>
    <row r="66" spans="1:9" x14ac:dyDescent="0.25">
      <c r="A66" s="7" t="s">
        <v>380</v>
      </c>
      <c r="B66" s="1" t="str">
        <f t="shared" si="10"/>
        <v>A</v>
      </c>
      <c r="C66" s="7" t="s">
        <v>381</v>
      </c>
      <c r="D66" s="1">
        <v>2020</v>
      </c>
      <c r="E66" s="1" t="s">
        <v>8</v>
      </c>
      <c r="F66" t="s">
        <v>126</v>
      </c>
    </row>
    <row r="67" spans="1:9" x14ac:dyDescent="0.25">
      <c r="A67" s="7" t="s">
        <v>382</v>
      </c>
      <c r="B67" s="1" t="str">
        <f t="shared" si="10"/>
        <v>C</v>
      </c>
      <c r="C67" s="7" t="s">
        <v>128</v>
      </c>
      <c r="D67" s="1">
        <v>2020</v>
      </c>
      <c r="E67" s="1" t="s">
        <v>8</v>
      </c>
      <c r="F67" t="s">
        <v>122</v>
      </c>
    </row>
    <row r="68" spans="1:9" x14ac:dyDescent="0.25">
      <c r="A68" s="7" t="s">
        <v>383</v>
      </c>
      <c r="B68" s="1" t="str">
        <f t="shared" si="10"/>
        <v>M</v>
      </c>
      <c r="C68" s="7" t="s">
        <v>384</v>
      </c>
      <c r="D68" s="1">
        <v>2020</v>
      </c>
      <c r="E68" s="1" t="s">
        <v>8</v>
      </c>
      <c r="F68" t="s">
        <v>104</v>
      </c>
      <c r="H68" s="39" t="s">
        <v>1017</v>
      </c>
      <c r="I68" s="39" t="s">
        <v>1016</v>
      </c>
    </row>
    <row r="69" spans="1:9" x14ac:dyDescent="0.25">
      <c r="A69" t="s">
        <v>385</v>
      </c>
      <c r="B69" s="1" t="str">
        <f t="shared" si="10"/>
        <v>A</v>
      </c>
      <c r="C69" s="9" t="s">
        <v>386</v>
      </c>
      <c r="D69" s="1">
        <v>2020</v>
      </c>
      <c r="E69" s="1" t="s">
        <v>8</v>
      </c>
      <c r="F69" t="s">
        <v>145</v>
      </c>
    </row>
    <row r="70" spans="1:9" x14ac:dyDescent="0.25">
      <c r="A70" t="s">
        <v>387</v>
      </c>
      <c r="B70" s="1" t="str">
        <f t="shared" si="10"/>
        <v>D</v>
      </c>
      <c r="C70" s="9" t="s">
        <v>388</v>
      </c>
      <c r="D70" s="1">
        <v>2020</v>
      </c>
      <c r="E70" s="1" t="s">
        <v>8</v>
      </c>
      <c r="F70" t="s">
        <v>99</v>
      </c>
    </row>
    <row r="71" spans="1:9" x14ac:dyDescent="0.25">
      <c r="A71" t="s">
        <v>389</v>
      </c>
      <c r="B71" s="1" t="str">
        <f t="shared" si="10"/>
        <v>M</v>
      </c>
      <c r="C71" s="9" t="s">
        <v>390</v>
      </c>
      <c r="D71" s="1">
        <v>2020</v>
      </c>
      <c r="E71" s="1" t="s">
        <v>8</v>
      </c>
      <c r="F71" t="s">
        <v>322</v>
      </c>
    </row>
    <row r="72" spans="1:9" x14ac:dyDescent="0.25">
      <c r="A72" t="s">
        <v>391</v>
      </c>
      <c r="B72" s="1" t="str">
        <f t="shared" si="10"/>
        <v>P</v>
      </c>
      <c r="C72" s="9" t="s">
        <v>392</v>
      </c>
      <c r="D72" s="1">
        <v>2020</v>
      </c>
      <c r="E72" s="1" t="s">
        <v>8</v>
      </c>
      <c r="F72" t="s">
        <v>188</v>
      </c>
    </row>
    <row r="73" spans="1:9" x14ac:dyDescent="0.25">
      <c r="A73" t="s">
        <v>393</v>
      </c>
      <c r="B73" s="1" t="str">
        <f t="shared" si="10"/>
        <v>V</v>
      </c>
      <c r="C73" s="9" t="s">
        <v>138</v>
      </c>
      <c r="D73" s="1">
        <v>2020</v>
      </c>
      <c r="E73" s="1" t="s">
        <v>8</v>
      </c>
      <c r="F73" t="s">
        <v>258</v>
      </c>
    </row>
    <row r="74" spans="1:9" x14ac:dyDescent="0.25">
      <c r="A74" t="s">
        <v>394</v>
      </c>
      <c r="B74" s="1" t="str">
        <f t="shared" si="10"/>
        <v>C</v>
      </c>
      <c r="C74" s="9" t="s">
        <v>395</v>
      </c>
      <c r="D74" s="1">
        <v>2019</v>
      </c>
      <c r="E74" s="1" t="s">
        <v>8</v>
      </c>
      <c r="F74" t="s">
        <v>212</v>
      </c>
    </row>
    <row r="75" spans="1:9" x14ac:dyDescent="0.25">
      <c r="A75" t="s">
        <v>396</v>
      </c>
      <c r="B75" s="1" t="str">
        <f t="shared" ref="B75:B106" si="11">LEFT(A75)</f>
        <v>C</v>
      </c>
      <c r="C75" s="9" t="s">
        <v>252</v>
      </c>
      <c r="D75" s="1">
        <v>2019</v>
      </c>
      <c r="E75" s="1" t="s">
        <v>8</v>
      </c>
      <c r="F75" t="s">
        <v>322</v>
      </c>
    </row>
    <row r="76" spans="1:9" x14ac:dyDescent="0.25">
      <c r="A76" t="s">
        <v>397</v>
      </c>
      <c r="B76" s="1" t="str">
        <f t="shared" si="11"/>
        <v>L</v>
      </c>
      <c r="C76" t="s">
        <v>398</v>
      </c>
      <c r="D76" s="1">
        <v>2019</v>
      </c>
      <c r="E76" s="1" t="s">
        <v>8</v>
      </c>
      <c r="F76" t="s">
        <v>334</v>
      </c>
    </row>
    <row r="77" spans="1:9" x14ac:dyDescent="0.25">
      <c r="A77" t="s">
        <v>399</v>
      </c>
      <c r="B77" s="1" t="str">
        <f t="shared" si="11"/>
        <v>R</v>
      </c>
      <c r="C77" t="s">
        <v>161</v>
      </c>
      <c r="D77" s="1">
        <v>2019</v>
      </c>
      <c r="E77" s="1" t="s">
        <v>8</v>
      </c>
      <c r="F77" t="s">
        <v>122</v>
      </c>
    </row>
    <row r="78" spans="1:9" x14ac:dyDescent="0.25">
      <c r="A78" t="s">
        <v>400</v>
      </c>
      <c r="B78" s="1" t="str">
        <f t="shared" si="11"/>
        <v>R</v>
      </c>
      <c r="C78" t="s">
        <v>401</v>
      </c>
      <c r="D78" s="1">
        <v>2019</v>
      </c>
      <c r="E78" s="1" t="s">
        <v>8</v>
      </c>
      <c r="F78" t="s">
        <v>283</v>
      </c>
    </row>
    <row r="79" spans="1:9" x14ac:dyDescent="0.25">
      <c r="A79" t="s">
        <v>402</v>
      </c>
      <c r="B79" s="1" t="str">
        <f t="shared" si="11"/>
        <v>V</v>
      </c>
      <c r="C79" t="s">
        <v>262</v>
      </c>
      <c r="D79" s="1">
        <v>2019</v>
      </c>
      <c r="E79" s="1" t="s">
        <v>8</v>
      </c>
      <c r="F79" t="s">
        <v>104</v>
      </c>
    </row>
    <row r="80" spans="1:9" x14ac:dyDescent="0.25">
      <c r="A80" t="s">
        <v>403</v>
      </c>
      <c r="B80" s="1" t="str">
        <f t="shared" si="11"/>
        <v>H</v>
      </c>
      <c r="C80" t="s">
        <v>404</v>
      </c>
      <c r="D80" s="1">
        <v>2019</v>
      </c>
      <c r="E80" s="1" t="s">
        <v>8</v>
      </c>
      <c r="F80" t="s">
        <v>283</v>
      </c>
    </row>
    <row r="81" spans="1:6" x14ac:dyDescent="0.25">
      <c r="A81" t="s">
        <v>405</v>
      </c>
      <c r="B81" s="1" t="str">
        <f t="shared" si="11"/>
        <v>M</v>
      </c>
      <c r="C81" t="s">
        <v>406</v>
      </c>
      <c r="D81" s="1">
        <v>2018</v>
      </c>
      <c r="E81" s="1" t="s">
        <v>8</v>
      </c>
      <c r="F81" t="s">
        <v>407</v>
      </c>
    </row>
    <row r="82" spans="1:6" x14ac:dyDescent="0.25">
      <c r="A82" t="s">
        <v>408</v>
      </c>
      <c r="B82" s="1" t="str">
        <f t="shared" si="11"/>
        <v>R</v>
      </c>
      <c r="C82" t="s">
        <v>347</v>
      </c>
      <c r="D82" s="1">
        <v>2018</v>
      </c>
      <c r="E82" s="1" t="s">
        <v>8</v>
      </c>
      <c r="F82" t="s">
        <v>112</v>
      </c>
    </row>
    <row r="83" spans="1:6" x14ac:dyDescent="0.25">
      <c r="A83" t="s">
        <v>409</v>
      </c>
      <c r="B83" s="1" t="str">
        <f t="shared" si="11"/>
        <v>T</v>
      </c>
      <c r="C83" t="s">
        <v>298</v>
      </c>
      <c r="D83" s="1">
        <v>2018</v>
      </c>
      <c r="E83" s="1" t="s">
        <v>8</v>
      </c>
      <c r="F83" t="s">
        <v>115</v>
      </c>
    </row>
    <row r="84" spans="1:6" x14ac:dyDescent="0.25">
      <c r="A84" t="s">
        <v>410</v>
      </c>
      <c r="B84" s="1" t="str">
        <f t="shared" si="11"/>
        <v>V</v>
      </c>
      <c r="C84" t="s">
        <v>411</v>
      </c>
      <c r="D84" s="1">
        <v>2018</v>
      </c>
      <c r="E84" s="1" t="s">
        <v>8</v>
      </c>
      <c r="F84" t="s">
        <v>115</v>
      </c>
    </row>
    <row r="85" spans="1:6" x14ac:dyDescent="0.25">
      <c r="A85" t="s">
        <v>412</v>
      </c>
      <c r="B85" s="1" t="str">
        <f t="shared" si="11"/>
        <v>B</v>
      </c>
      <c r="C85" t="s">
        <v>413</v>
      </c>
      <c r="D85" s="1">
        <v>2018</v>
      </c>
      <c r="E85" s="1" t="s">
        <v>8</v>
      </c>
      <c r="F85" t="s">
        <v>232</v>
      </c>
    </row>
    <row r="86" spans="1:6" x14ac:dyDescent="0.25">
      <c r="A86" t="s">
        <v>414</v>
      </c>
      <c r="B86" s="1" t="str">
        <f t="shared" si="11"/>
        <v>B</v>
      </c>
      <c r="C86" t="s">
        <v>269</v>
      </c>
      <c r="D86" s="1">
        <v>2018</v>
      </c>
      <c r="E86" s="1" t="s">
        <v>8</v>
      </c>
      <c r="F86" t="s">
        <v>99</v>
      </c>
    </row>
    <row r="87" spans="1:6" x14ac:dyDescent="0.25">
      <c r="A87" t="s">
        <v>415</v>
      </c>
      <c r="B87" s="1" t="str">
        <f t="shared" si="11"/>
        <v>D</v>
      </c>
      <c r="C87" t="s">
        <v>416</v>
      </c>
      <c r="D87" s="1">
        <v>2018</v>
      </c>
      <c r="E87" s="1" t="s">
        <v>8</v>
      </c>
      <c r="F87" t="s">
        <v>91</v>
      </c>
    </row>
    <row r="88" spans="1:6" x14ac:dyDescent="0.25">
      <c r="A88" t="s">
        <v>417</v>
      </c>
      <c r="B88" s="1" t="str">
        <f t="shared" si="11"/>
        <v>G</v>
      </c>
      <c r="C88" t="s">
        <v>262</v>
      </c>
      <c r="D88" s="1">
        <v>2018</v>
      </c>
      <c r="E88" s="1" t="s">
        <v>8</v>
      </c>
      <c r="F88" t="s">
        <v>104</v>
      </c>
    </row>
    <row r="89" spans="1:6" x14ac:dyDescent="0.25">
      <c r="A89" t="s">
        <v>418</v>
      </c>
      <c r="B89" s="1" t="str">
        <f t="shared" si="11"/>
        <v>P</v>
      </c>
      <c r="C89" t="s">
        <v>419</v>
      </c>
      <c r="D89" s="1">
        <v>2018</v>
      </c>
      <c r="E89" s="1" t="s">
        <v>8</v>
      </c>
      <c r="F89" t="s">
        <v>142</v>
      </c>
    </row>
    <row r="90" spans="1:6" x14ac:dyDescent="0.25">
      <c r="A90" t="s">
        <v>420</v>
      </c>
      <c r="B90" s="1" t="str">
        <f t="shared" si="11"/>
        <v>B</v>
      </c>
      <c r="C90" t="s">
        <v>421</v>
      </c>
      <c r="D90" s="1">
        <v>2017</v>
      </c>
      <c r="E90" s="1" t="s">
        <v>8</v>
      </c>
      <c r="F90" t="s">
        <v>232</v>
      </c>
    </row>
    <row r="91" spans="1:6" x14ac:dyDescent="0.25">
      <c r="A91" t="s">
        <v>422</v>
      </c>
      <c r="B91" s="1" t="str">
        <f t="shared" si="11"/>
        <v>D</v>
      </c>
      <c r="C91" t="s">
        <v>423</v>
      </c>
      <c r="D91" s="1">
        <v>2017</v>
      </c>
      <c r="E91" s="1" t="s">
        <v>8</v>
      </c>
      <c r="F91" t="s">
        <v>126</v>
      </c>
    </row>
    <row r="92" spans="1:6" x14ac:dyDescent="0.25">
      <c r="A92" t="s">
        <v>424</v>
      </c>
      <c r="B92" s="1" t="str">
        <f t="shared" si="11"/>
        <v>F</v>
      </c>
      <c r="C92" t="s">
        <v>401</v>
      </c>
      <c r="D92" s="1">
        <v>2017</v>
      </c>
      <c r="E92" s="1" t="s">
        <v>8</v>
      </c>
      <c r="F92" s="1" t="s">
        <v>136</v>
      </c>
    </row>
    <row r="93" spans="1:6" x14ac:dyDescent="0.25">
      <c r="A93" t="s">
        <v>425</v>
      </c>
      <c r="B93" s="1" t="str">
        <f t="shared" si="11"/>
        <v>F</v>
      </c>
      <c r="C93" t="s">
        <v>426</v>
      </c>
      <c r="D93" s="1">
        <v>2017</v>
      </c>
      <c r="E93" s="1" t="s">
        <v>8</v>
      </c>
      <c r="F93" t="s">
        <v>115</v>
      </c>
    </row>
    <row r="94" spans="1:6" x14ac:dyDescent="0.25">
      <c r="A94" t="s">
        <v>427</v>
      </c>
      <c r="B94" s="1" t="str">
        <f t="shared" si="11"/>
        <v>H</v>
      </c>
      <c r="C94" t="s">
        <v>428</v>
      </c>
      <c r="D94" s="1">
        <v>2017</v>
      </c>
      <c r="E94" s="1" t="s">
        <v>8</v>
      </c>
      <c r="F94" t="s">
        <v>429</v>
      </c>
    </row>
    <row r="95" spans="1:6" x14ac:dyDescent="0.25">
      <c r="A95" t="s">
        <v>430</v>
      </c>
      <c r="B95" s="1" t="str">
        <f t="shared" si="11"/>
        <v>L</v>
      </c>
      <c r="C95" t="s">
        <v>431</v>
      </c>
      <c r="D95" s="1">
        <v>2017</v>
      </c>
      <c r="E95" s="1" t="s">
        <v>8</v>
      </c>
      <c r="F95" t="s">
        <v>37</v>
      </c>
    </row>
    <row r="96" spans="1:6" x14ac:dyDescent="0.25">
      <c r="A96" t="s">
        <v>432</v>
      </c>
      <c r="B96" s="1" t="str">
        <f t="shared" si="11"/>
        <v>V</v>
      </c>
      <c r="C96" t="s">
        <v>205</v>
      </c>
      <c r="D96" s="1">
        <v>2017</v>
      </c>
      <c r="E96" s="1" t="s">
        <v>8</v>
      </c>
      <c r="F96" t="s">
        <v>122</v>
      </c>
    </row>
    <row r="97" spans="1:6" x14ac:dyDescent="0.25">
      <c r="A97" t="s">
        <v>433</v>
      </c>
      <c r="B97" s="1" t="str">
        <f t="shared" si="11"/>
        <v>G</v>
      </c>
      <c r="C97" t="s">
        <v>434</v>
      </c>
      <c r="D97" s="1">
        <v>2017</v>
      </c>
      <c r="E97" s="1" t="s">
        <v>8</v>
      </c>
      <c r="F97" t="s">
        <v>407</v>
      </c>
    </row>
    <row r="98" spans="1:6" x14ac:dyDescent="0.25">
      <c r="A98" t="s">
        <v>435</v>
      </c>
      <c r="B98" s="1" t="str">
        <f t="shared" si="11"/>
        <v>B</v>
      </c>
      <c r="C98" t="s">
        <v>128</v>
      </c>
      <c r="D98" s="1">
        <v>2016</v>
      </c>
      <c r="E98" s="1" t="s">
        <v>8</v>
      </c>
      <c r="F98" t="s">
        <v>126</v>
      </c>
    </row>
    <row r="99" spans="1:6" x14ac:dyDescent="0.25">
      <c r="A99" t="s">
        <v>436</v>
      </c>
      <c r="B99" s="1" t="str">
        <f t="shared" si="11"/>
        <v>C</v>
      </c>
      <c r="C99" t="s">
        <v>269</v>
      </c>
      <c r="D99" s="1">
        <v>2016</v>
      </c>
      <c r="E99" s="1" t="s">
        <v>8</v>
      </c>
      <c r="F99" t="s">
        <v>188</v>
      </c>
    </row>
    <row r="100" spans="1:6" x14ac:dyDescent="0.25">
      <c r="A100" t="s">
        <v>437</v>
      </c>
      <c r="B100" s="1" t="str">
        <f t="shared" si="11"/>
        <v>F</v>
      </c>
      <c r="C100" t="s">
        <v>209</v>
      </c>
      <c r="D100" s="1">
        <v>2016</v>
      </c>
      <c r="E100" s="1" t="s">
        <v>8</v>
      </c>
      <c r="F100" t="s">
        <v>232</v>
      </c>
    </row>
    <row r="101" spans="1:6" x14ac:dyDescent="0.25">
      <c r="A101" t="s">
        <v>438</v>
      </c>
      <c r="B101" s="1" t="str">
        <f t="shared" si="11"/>
        <v>P</v>
      </c>
      <c r="C101" t="s">
        <v>439</v>
      </c>
      <c r="D101" s="1">
        <v>2016</v>
      </c>
      <c r="E101" s="1" t="s">
        <v>8</v>
      </c>
      <c r="F101" t="s">
        <v>283</v>
      </c>
    </row>
    <row r="102" spans="1:6" x14ac:dyDescent="0.25">
      <c r="A102" t="s">
        <v>440</v>
      </c>
      <c r="B102" s="1" t="str">
        <f t="shared" si="11"/>
        <v>R</v>
      </c>
      <c r="C102" t="s">
        <v>152</v>
      </c>
      <c r="D102" s="1">
        <v>2016</v>
      </c>
      <c r="E102" s="1" t="s">
        <v>8</v>
      </c>
      <c r="F102" t="s">
        <v>122</v>
      </c>
    </row>
    <row r="103" spans="1:6" x14ac:dyDescent="0.25">
      <c r="A103" t="s">
        <v>441</v>
      </c>
      <c r="B103" s="1" t="str">
        <f t="shared" si="11"/>
        <v>P</v>
      </c>
      <c r="C103" t="s">
        <v>442</v>
      </c>
      <c r="D103" s="1">
        <v>2016</v>
      </c>
      <c r="E103" s="1" t="s">
        <v>8</v>
      </c>
      <c r="F103" t="s">
        <v>94</v>
      </c>
    </row>
    <row r="104" spans="1:6" x14ac:dyDescent="0.25">
      <c r="A104" t="s">
        <v>443</v>
      </c>
      <c r="B104" s="1" t="str">
        <f t="shared" si="11"/>
        <v>M</v>
      </c>
      <c r="C104" t="s">
        <v>444</v>
      </c>
      <c r="D104" s="1">
        <v>2016</v>
      </c>
      <c r="E104" s="1" t="s">
        <v>8</v>
      </c>
      <c r="F104" t="s">
        <v>445</v>
      </c>
    </row>
    <row r="105" spans="1:6" x14ac:dyDescent="0.25">
      <c r="A105" t="s">
        <v>446</v>
      </c>
      <c r="B105" s="1" t="str">
        <f t="shared" si="11"/>
        <v>M</v>
      </c>
      <c r="C105" t="s">
        <v>447</v>
      </c>
      <c r="D105" s="1">
        <v>2016</v>
      </c>
      <c r="E105" s="1" t="s">
        <v>8</v>
      </c>
      <c r="F105" t="s">
        <v>448</v>
      </c>
    </row>
    <row r="106" spans="1:6" x14ac:dyDescent="0.25">
      <c r="A106" t="s">
        <v>449</v>
      </c>
      <c r="B106" s="1" t="str">
        <f t="shared" si="11"/>
        <v>O</v>
      </c>
      <c r="C106" t="s">
        <v>431</v>
      </c>
      <c r="D106" s="1">
        <v>2016</v>
      </c>
      <c r="E106" s="1" t="s">
        <v>8</v>
      </c>
      <c r="F106" t="s">
        <v>450</v>
      </c>
    </row>
    <row r="107" spans="1:6" x14ac:dyDescent="0.25">
      <c r="A107" t="s">
        <v>451</v>
      </c>
      <c r="B107" s="1" t="str">
        <f t="shared" ref="B107" si="12">LEFT(A107)</f>
        <v>W</v>
      </c>
      <c r="C107" t="s">
        <v>234</v>
      </c>
      <c r="D107" s="1">
        <v>2016</v>
      </c>
      <c r="E107" s="1" t="s">
        <v>8</v>
      </c>
      <c r="F107" t="s">
        <v>452</v>
      </c>
    </row>
    <row r="108" spans="1:6" x14ac:dyDescent="0.25">
      <c r="A108" s="9" t="s">
        <v>453</v>
      </c>
      <c r="B108" s="12" t="s">
        <v>124</v>
      </c>
      <c r="C108" s="9" t="s">
        <v>454</v>
      </c>
      <c r="D108" s="1">
        <v>2016</v>
      </c>
      <c r="E108" s="1" t="s">
        <v>8</v>
      </c>
      <c r="F108" t="s">
        <v>455</v>
      </c>
    </row>
    <row r="109" spans="1:6" x14ac:dyDescent="0.25">
      <c r="A109" s="9" t="s">
        <v>456</v>
      </c>
      <c r="B109" s="1" t="str">
        <f t="shared" ref="B109:B127" si="13">LEFT(A109)</f>
        <v>D</v>
      </c>
      <c r="C109" s="9" t="s">
        <v>178</v>
      </c>
      <c r="D109" s="1">
        <v>2016</v>
      </c>
      <c r="E109" s="1" t="s">
        <v>8</v>
      </c>
      <c r="F109" t="s">
        <v>232</v>
      </c>
    </row>
    <row r="110" spans="1:6" x14ac:dyDescent="0.25">
      <c r="A110" s="9" t="s">
        <v>457</v>
      </c>
      <c r="B110" s="1" t="str">
        <f t="shared" si="13"/>
        <v>F</v>
      </c>
      <c r="C110" s="9" t="s">
        <v>458</v>
      </c>
      <c r="D110" s="1">
        <v>2016</v>
      </c>
      <c r="E110" s="1" t="s">
        <v>8</v>
      </c>
      <c r="F110" t="s">
        <v>459</v>
      </c>
    </row>
    <row r="111" spans="1:6" x14ac:dyDescent="0.25">
      <c r="A111" s="9" t="s">
        <v>460</v>
      </c>
      <c r="B111" s="1" t="str">
        <f t="shared" si="13"/>
        <v>G</v>
      </c>
      <c r="C111" s="9" t="s">
        <v>461</v>
      </c>
      <c r="D111" s="1">
        <v>2016</v>
      </c>
      <c r="E111" s="1" t="s">
        <v>8</v>
      </c>
      <c r="F111" t="s">
        <v>429</v>
      </c>
    </row>
    <row r="112" spans="1:6" x14ac:dyDescent="0.25">
      <c r="A112" s="9" t="s">
        <v>462</v>
      </c>
      <c r="B112" s="1" t="str">
        <f t="shared" si="13"/>
        <v>M</v>
      </c>
      <c r="C112" s="9" t="s">
        <v>463</v>
      </c>
      <c r="D112" s="1">
        <v>2016</v>
      </c>
      <c r="E112" s="1" t="s">
        <v>8</v>
      </c>
      <c r="F112" t="s">
        <v>91</v>
      </c>
    </row>
    <row r="113" spans="1:8" x14ac:dyDescent="0.25">
      <c r="A113" s="9" t="s">
        <v>464</v>
      </c>
      <c r="B113" s="1" t="str">
        <f t="shared" si="13"/>
        <v>M</v>
      </c>
      <c r="C113" s="9" t="s">
        <v>191</v>
      </c>
      <c r="D113" s="1">
        <v>2016</v>
      </c>
      <c r="E113" s="1" t="s">
        <v>8</v>
      </c>
      <c r="F113" t="s">
        <v>267</v>
      </c>
    </row>
    <row r="114" spans="1:8" x14ac:dyDescent="0.25">
      <c r="A114" s="9" t="s">
        <v>465</v>
      </c>
      <c r="B114" s="1" t="str">
        <f t="shared" si="13"/>
        <v>P</v>
      </c>
      <c r="C114" s="9" t="s">
        <v>466</v>
      </c>
      <c r="D114" s="1">
        <v>2016</v>
      </c>
      <c r="E114" s="1" t="s">
        <v>8</v>
      </c>
      <c r="F114" t="s">
        <v>104</v>
      </c>
    </row>
    <row r="115" spans="1:8" x14ac:dyDescent="0.25">
      <c r="A115" s="9" t="s">
        <v>467</v>
      </c>
      <c r="B115" s="1" t="str">
        <f t="shared" si="13"/>
        <v>B</v>
      </c>
      <c r="C115" s="9" t="s">
        <v>468</v>
      </c>
      <c r="D115" s="1">
        <v>2015</v>
      </c>
      <c r="E115" s="1" t="s">
        <v>8</v>
      </c>
      <c r="F115" t="s">
        <v>136</v>
      </c>
    </row>
    <row r="116" spans="1:8" x14ac:dyDescent="0.25">
      <c r="A116" s="9" t="s">
        <v>469</v>
      </c>
      <c r="B116" s="1" t="str">
        <f t="shared" si="13"/>
        <v>C</v>
      </c>
      <c r="C116" s="9" t="s">
        <v>470</v>
      </c>
      <c r="D116" s="1">
        <v>2015</v>
      </c>
      <c r="E116" s="1" t="s">
        <v>8</v>
      </c>
      <c r="F116" t="s">
        <v>142</v>
      </c>
      <c r="H116" t="s">
        <v>1018</v>
      </c>
    </row>
    <row r="117" spans="1:8" x14ac:dyDescent="0.25">
      <c r="A117" s="9" t="s">
        <v>471</v>
      </c>
      <c r="B117" s="1" t="str">
        <f t="shared" si="13"/>
        <v>M</v>
      </c>
      <c r="C117" s="9" t="s">
        <v>472</v>
      </c>
      <c r="D117" s="1">
        <v>2015</v>
      </c>
      <c r="E117" s="1" t="s">
        <v>8</v>
      </c>
      <c r="F117" t="s">
        <v>142</v>
      </c>
      <c r="H117" t="s">
        <v>1018</v>
      </c>
    </row>
    <row r="118" spans="1:8" x14ac:dyDescent="0.25">
      <c r="A118" s="9" t="s">
        <v>473</v>
      </c>
      <c r="B118" s="1" t="str">
        <f t="shared" si="13"/>
        <v>S</v>
      </c>
      <c r="C118" s="9" t="s">
        <v>474</v>
      </c>
      <c r="D118" s="1">
        <v>2015</v>
      </c>
      <c r="E118" s="12" t="s">
        <v>8</v>
      </c>
      <c r="F118" t="s">
        <v>99</v>
      </c>
    </row>
    <row r="119" spans="1:8" x14ac:dyDescent="0.25">
      <c r="A119" s="9" t="s">
        <v>475</v>
      </c>
      <c r="B119" s="1" t="str">
        <f t="shared" si="13"/>
        <v>V</v>
      </c>
      <c r="C119" s="9" t="s">
        <v>401</v>
      </c>
      <c r="D119" s="1">
        <v>2015</v>
      </c>
      <c r="E119" s="12" t="s">
        <v>8</v>
      </c>
      <c r="F119" t="s">
        <v>99</v>
      </c>
    </row>
    <row r="120" spans="1:8" x14ac:dyDescent="0.25">
      <c r="A120" s="9" t="s">
        <v>476</v>
      </c>
      <c r="B120" s="1" t="str">
        <f t="shared" si="13"/>
        <v>P</v>
      </c>
      <c r="C120" s="9" t="s">
        <v>310</v>
      </c>
      <c r="D120" s="1">
        <v>2015</v>
      </c>
      <c r="E120" s="12" t="s">
        <v>8</v>
      </c>
      <c r="F120" t="s">
        <v>477</v>
      </c>
    </row>
    <row r="121" spans="1:8" x14ac:dyDescent="0.25">
      <c r="A121" s="9" t="s">
        <v>478</v>
      </c>
      <c r="B121" s="1" t="str">
        <f t="shared" si="13"/>
        <v>P</v>
      </c>
      <c r="C121" s="9" t="s">
        <v>479</v>
      </c>
      <c r="D121" s="1">
        <v>2015</v>
      </c>
      <c r="E121" s="12" t="s">
        <v>8</v>
      </c>
      <c r="F121" t="s">
        <v>91</v>
      </c>
    </row>
    <row r="122" spans="1:8" x14ac:dyDescent="0.25">
      <c r="A122" s="9" t="s">
        <v>480</v>
      </c>
      <c r="B122" s="1" t="str">
        <f t="shared" si="13"/>
        <v>Z</v>
      </c>
      <c r="C122" s="9" t="s">
        <v>481</v>
      </c>
      <c r="D122" s="1">
        <v>2015</v>
      </c>
      <c r="E122" s="12" t="s">
        <v>8</v>
      </c>
      <c r="F122" t="s">
        <v>126</v>
      </c>
    </row>
    <row r="123" spans="1:8" x14ac:dyDescent="0.25">
      <c r="A123" s="9" t="s">
        <v>482</v>
      </c>
      <c r="B123" s="1" t="str">
        <f t="shared" si="13"/>
        <v>B</v>
      </c>
      <c r="C123" s="12" t="s">
        <v>347</v>
      </c>
      <c r="D123" s="1">
        <v>2014</v>
      </c>
      <c r="E123" s="12" t="s">
        <v>8</v>
      </c>
      <c r="F123" t="s">
        <v>459</v>
      </c>
    </row>
    <row r="124" spans="1:8" x14ac:dyDescent="0.25">
      <c r="A124" s="9" t="s">
        <v>483</v>
      </c>
      <c r="B124" s="1" t="str">
        <f t="shared" si="13"/>
        <v>B</v>
      </c>
      <c r="C124" s="9" t="s">
        <v>234</v>
      </c>
      <c r="D124" s="1">
        <v>2014</v>
      </c>
      <c r="E124" s="12" t="s">
        <v>8</v>
      </c>
      <c r="F124" t="s">
        <v>104</v>
      </c>
    </row>
    <row r="125" spans="1:8" x14ac:dyDescent="0.25">
      <c r="A125" t="s">
        <v>484</v>
      </c>
      <c r="B125" s="1" t="str">
        <f t="shared" si="13"/>
        <v>D</v>
      </c>
      <c r="C125" s="9" t="s">
        <v>125</v>
      </c>
      <c r="D125" s="1">
        <v>2014</v>
      </c>
      <c r="E125" s="12" t="s">
        <v>8</v>
      </c>
      <c r="F125" t="s">
        <v>283</v>
      </c>
    </row>
    <row r="126" spans="1:8" x14ac:dyDescent="0.25">
      <c r="A126" s="9" t="s">
        <v>485</v>
      </c>
      <c r="B126" s="1" t="str">
        <f t="shared" si="13"/>
        <v>M</v>
      </c>
      <c r="C126" s="9" t="s">
        <v>304</v>
      </c>
      <c r="D126" s="1">
        <v>2014</v>
      </c>
      <c r="E126" s="12" t="s">
        <v>8</v>
      </c>
      <c r="F126" t="s">
        <v>283</v>
      </c>
    </row>
    <row r="127" spans="1:8" x14ac:dyDescent="0.25">
      <c r="B127" s="1" t="str">
        <f t="shared" si="13"/>
        <v/>
      </c>
    </row>
  </sheetData>
  <hyperlinks>
    <hyperlink ref="H56" r:id="rId1" xr:uid="{00000000-0004-0000-0100-000000000000}"/>
    <hyperlink ref="I56" r:id="rId2" xr:uid="{00000000-0004-0000-0100-000001000000}"/>
    <hyperlink ref="I54" r:id="rId3" xr:uid="{B53F0185-E12A-4B2F-B690-A355769CD3F8}"/>
    <hyperlink ref="I63" r:id="rId4" xr:uid="{65BCD137-8AB5-49F1-9E6E-D630706BF1D1}"/>
    <hyperlink ref="H37" r:id="rId5" xr:uid="{E6008756-EABF-4007-B406-8FDB469A944B}"/>
    <hyperlink ref="I68" r:id="rId6" xr:uid="{FDC3B03E-2B43-4B00-A129-6DEA0C75C40E}"/>
    <hyperlink ref="H68" r:id="rId7" xr:uid="{ED0FBD64-C52F-4310-BEB1-D76BDFE4CE1B}"/>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98F871A1-25E1-4B53-8B18-4D217B6E5DD0}">
          <x14:formula1>
            <xm:f>Ecoles!$A$2:$A$71</xm:f>
          </x14:formula1>
          <xm:sqref>F128:F133</xm:sqref>
        </x14:dataValidation>
        <x14:dataValidation type="list" allowBlank="1" showInputMessage="1" showErrorMessage="1" xr:uid="{986D1C62-C1E8-4BE3-9C02-C464CE3171CD}">
          <x14:formula1>
            <xm:f>Ecoles!$A$2:$A$72</xm:f>
          </x14:formula1>
          <xm:sqref>N15 F3:F127</xm:sqref>
        </x14:dataValidation>
        <x14:dataValidation type="list" allowBlank="1" showInputMessage="1" showErrorMessage="1" xr:uid="{9E5868A2-5D00-445E-88D7-95E4AC81F094}">
          <x14:formula1>
            <xm:f>Ecoles!$A$2:$A$73</xm:f>
          </x14:formula1>
          <xm:sqref>F2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81"/>
  <sheetViews>
    <sheetView tabSelected="1" topLeftCell="A52" zoomScale="75" zoomScaleNormal="70" workbookViewId="0">
      <selection activeCell="F57" sqref="F57"/>
    </sheetView>
  </sheetViews>
  <sheetFormatPr baseColWidth="10" defaultColWidth="11.42578125" defaultRowHeight="15" x14ac:dyDescent="0.25"/>
  <cols>
    <col min="1" max="1" width="22.28515625" style="3" customWidth="1"/>
    <col min="2" max="6" width="11.42578125" style="3" customWidth="1"/>
    <col min="7" max="7" width="69.140625" style="3" customWidth="1"/>
    <col min="8" max="8" width="11.42578125" style="3" customWidth="1"/>
    <col min="9" max="9" width="21.42578125" style="3" customWidth="1"/>
    <col min="10" max="10" width="42.42578125" style="3" customWidth="1"/>
    <col min="11" max="11" width="72.28515625" style="3" customWidth="1"/>
    <col min="12" max="12" width="11.42578125" style="3" customWidth="1"/>
    <col min="13" max="16384" width="11.42578125" style="3"/>
  </cols>
  <sheetData>
    <row r="1" spans="1:12" ht="39.950000000000003" customHeight="1" x14ac:dyDescent="0.25">
      <c r="A1" s="3" t="s">
        <v>74</v>
      </c>
      <c r="B1" s="3" t="s">
        <v>486</v>
      </c>
      <c r="C1" s="3" t="s">
        <v>487</v>
      </c>
      <c r="D1" s="3" t="s">
        <v>488</v>
      </c>
      <c r="E1" s="3" t="s">
        <v>489</v>
      </c>
      <c r="F1" s="3" t="s">
        <v>490</v>
      </c>
      <c r="G1" s="3" t="s">
        <v>491</v>
      </c>
      <c r="H1" s="3" t="s">
        <v>492</v>
      </c>
      <c r="I1" s="3" t="s">
        <v>493</v>
      </c>
      <c r="J1" s="3" t="s">
        <v>494</v>
      </c>
      <c r="K1" s="3" t="s">
        <v>495</v>
      </c>
      <c r="L1" s="3" t="s">
        <v>986</v>
      </c>
    </row>
    <row r="2" spans="1:12" ht="39.950000000000003" customHeight="1" x14ac:dyDescent="0.25">
      <c r="A2" s="3" t="s">
        <v>126</v>
      </c>
      <c r="B2" s="3" t="s">
        <v>496</v>
      </c>
      <c r="C2" s="3" t="s">
        <v>496</v>
      </c>
      <c r="D2" s="3" t="s">
        <v>497</v>
      </c>
      <c r="E2" s="3" t="s">
        <v>497</v>
      </c>
      <c r="F2" s="3" t="s">
        <v>498</v>
      </c>
      <c r="G2" s="3" t="s">
        <v>499</v>
      </c>
      <c r="H2" s="3" t="s">
        <v>500</v>
      </c>
      <c r="I2" s="3" t="s">
        <v>501</v>
      </c>
      <c r="J2" s="3" t="s">
        <v>502</v>
      </c>
      <c r="K2" s="3" t="s">
        <v>503</v>
      </c>
    </row>
    <row r="3" spans="1:12" ht="39.950000000000003" customHeight="1" x14ac:dyDescent="0.25">
      <c r="A3" s="3" t="s">
        <v>115</v>
      </c>
      <c r="B3" s="3" t="s">
        <v>496</v>
      </c>
      <c r="C3" s="3" t="s">
        <v>496</v>
      </c>
      <c r="D3" s="3" t="s">
        <v>497</v>
      </c>
      <c r="E3" s="3" t="s">
        <v>497</v>
      </c>
      <c r="F3" s="3" t="s">
        <v>498</v>
      </c>
      <c r="G3" s="3" t="s">
        <v>978</v>
      </c>
      <c r="H3" s="3" t="s">
        <v>505</v>
      </c>
      <c r="I3" s="3" t="s">
        <v>506</v>
      </c>
      <c r="J3" s="3" t="s">
        <v>507</v>
      </c>
      <c r="K3" s="3" t="s">
        <v>508</v>
      </c>
      <c r="L3" s="78" t="s">
        <v>977</v>
      </c>
    </row>
    <row r="4" spans="1:12" ht="39.950000000000003" customHeight="1" x14ac:dyDescent="0.25">
      <c r="A4" s="3" t="s">
        <v>37</v>
      </c>
      <c r="B4" s="3" t="s">
        <v>496</v>
      </c>
      <c r="C4" s="3" t="s">
        <v>496</v>
      </c>
      <c r="D4" s="3" t="s">
        <v>497</v>
      </c>
      <c r="E4" s="3" t="s">
        <v>497</v>
      </c>
      <c r="F4" s="3" t="s">
        <v>498</v>
      </c>
      <c r="G4" s="3" t="s">
        <v>509</v>
      </c>
      <c r="H4" s="3" t="s">
        <v>510</v>
      </c>
      <c r="I4" s="3" t="s">
        <v>511</v>
      </c>
      <c r="J4" s="3" t="s">
        <v>512</v>
      </c>
      <c r="K4" s="3" t="s">
        <v>513</v>
      </c>
    </row>
    <row r="5" spans="1:12" ht="39.950000000000003" customHeight="1" x14ac:dyDescent="0.25">
      <c r="A5" s="3" t="s">
        <v>122</v>
      </c>
      <c r="B5" s="3" t="s">
        <v>496</v>
      </c>
      <c r="C5" s="3" t="s">
        <v>496</v>
      </c>
      <c r="D5" s="3" t="s">
        <v>497</v>
      </c>
      <c r="E5" s="3" t="s">
        <v>497</v>
      </c>
      <c r="F5" s="3" t="s">
        <v>498</v>
      </c>
      <c r="G5" s="3" t="s">
        <v>981</v>
      </c>
      <c r="H5" s="3" t="s">
        <v>514</v>
      </c>
      <c r="I5" s="3" t="s">
        <v>972</v>
      </c>
      <c r="J5" s="3" t="s">
        <v>515</v>
      </c>
      <c r="K5" s="3" t="s">
        <v>516</v>
      </c>
      <c r="L5" s="3" t="s">
        <v>977</v>
      </c>
    </row>
    <row r="6" spans="1:12" ht="39.950000000000003" customHeight="1" x14ac:dyDescent="0.25">
      <c r="A6" s="3" t="s">
        <v>104</v>
      </c>
      <c r="B6" s="3" t="s">
        <v>496</v>
      </c>
      <c r="C6" s="3" t="s">
        <v>496</v>
      </c>
      <c r="D6" s="3" t="s">
        <v>497</v>
      </c>
      <c r="E6" s="3" t="s">
        <v>497</v>
      </c>
      <c r="F6" s="3" t="s">
        <v>498</v>
      </c>
      <c r="G6" s="3" t="s">
        <v>983</v>
      </c>
      <c r="H6" s="3" t="s">
        <v>517</v>
      </c>
      <c r="I6" s="3" t="s">
        <v>518</v>
      </c>
      <c r="J6" s="3" t="s">
        <v>519</v>
      </c>
      <c r="K6" s="3" t="s">
        <v>520</v>
      </c>
      <c r="L6" s="3" t="s">
        <v>982</v>
      </c>
    </row>
    <row r="7" spans="1:12" ht="39.950000000000003" customHeight="1" x14ac:dyDescent="0.25">
      <c r="A7" s="3" t="s">
        <v>283</v>
      </c>
      <c r="B7" s="3" t="s">
        <v>496</v>
      </c>
      <c r="C7" s="3" t="s">
        <v>496</v>
      </c>
      <c r="D7" s="3" t="s">
        <v>497</v>
      </c>
      <c r="E7" s="3" t="s">
        <v>497</v>
      </c>
      <c r="F7" s="3" t="s">
        <v>498</v>
      </c>
      <c r="G7" s="3" t="s">
        <v>521</v>
      </c>
      <c r="H7" s="3" t="s">
        <v>522</v>
      </c>
      <c r="I7" s="3" t="s">
        <v>523</v>
      </c>
      <c r="J7" s="3" t="s">
        <v>524</v>
      </c>
      <c r="K7" s="3" t="s">
        <v>525</v>
      </c>
    </row>
    <row r="8" spans="1:12" ht="39.950000000000003" customHeight="1" x14ac:dyDescent="0.25">
      <c r="A8" s="3" t="s">
        <v>112</v>
      </c>
      <c r="B8" s="3" t="s">
        <v>496</v>
      </c>
      <c r="C8" s="3" t="s">
        <v>496</v>
      </c>
      <c r="D8" s="3" t="s">
        <v>497</v>
      </c>
      <c r="E8" s="3" t="s">
        <v>497</v>
      </c>
      <c r="F8" s="3" t="s">
        <v>498</v>
      </c>
      <c r="G8" s="3" t="s">
        <v>985</v>
      </c>
      <c r="H8" s="3" t="s">
        <v>526</v>
      </c>
      <c r="I8" s="3" t="s">
        <v>527</v>
      </c>
      <c r="J8" s="3" t="s">
        <v>528</v>
      </c>
      <c r="K8" s="3" t="s">
        <v>529</v>
      </c>
      <c r="L8" s="3" t="s">
        <v>984</v>
      </c>
    </row>
    <row r="9" spans="1:12" ht="39.950000000000003" customHeight="1" x14ac:dyDescent="0.25">
      <c r="A9" s="3" t="s">
        <v>136</v>
      </c>
      <c r="B9" s="3" t="s">
        <v>530</v>
      </c>
      <c r="C9" s="3" t="s">
        <v>530</v>
      </c>
      <c r="D9" s="3" t="s">
        <v>497</v>
      </c>
      <c r="E9" s="3" t="s">
        <v>497</v>
      </c>
      <c r="F9" s="3" t="s">
        <v>498</v>
      </c>
      <c r="G9" s="3" t="s">
        <v>980</v>
      </c>
      <c r="H9" s="3" t="s">
        <v>531</v>
      </c>
      <c r="I9" s="3" t="s">
        <v>532</v>
      </c>
      <c r="J9" s="3" t="s">
        <v>533</v>
      </c>
      <c r="K9" s="3" t="s">
        <v>534</v>
      </c>
      <c r="L9" s="3" t="s">
        <v>979</v>
      </c>
    </row>
    <row r="10" spans="1:12" ht="39.950000000000003" customHeight="1" x14ac:dyDescent="0.25">
      <c r="A10" s="3" t="s">
        <v>99</v>
      </c>
      <c r="B10" s="3" t="s">
        <v>496</v>
      </c>
      <c r="C10" s="3" t="s">
        <v>496</v>
      </c>
      <c r="D10" s="3" t="s">
        <v>497</v>
      </c>
      <c r="E10" s="3" t="s">
        <v>497</v>
      </c>
      <c r="F10" s="3" t="s">
        <v>498</v>
      </c>
      <c r="G10" s="3" t="s">
        <v>535</v>
      </c>
      <c r="H10" s="3" t="s">
        <v>536</v>
      </c>
      <c r="I10" s="3" t="s">
        <v>537</v>
      </c>
      <c r="J10" s="3" t="s">
        <v>538</v>
      </c>
      <c r="K10" s="3" t="s">
        <v>539</v>
      </c>
    </row>
    <row r="11" spans="1:12" ht="39.950000000000003" customHeight="1" x14ac:dyDescent="0.25">
      <c r="A11" s="3" t="s">
        <v>345</v>
      </c>
      <c r="B11" s="3" t="s">
        <v>540</v>
      </c>
      <c r="C11" s="3" t="s">
        <v>540</v>
      </c>
      <c r="D11" s="3" t="s">
        <v>497</v>
      </c>
      <c r="E11" s="3" t="s">
        <v>497</v>
      </c>
      <c r="F11" s="3" t="s">
        <v>498</v>
      </c>
      <c r="G11" s="3" t="s">
        <v>541</v>
      </c>
      <c r="H11" s="3" t="s">
        <v>542</v>
      </c>
      <c r="I11" s="3" t="s">
        <v>543</v>
      </c>
      <c r="J11" s="3" t="s">
        <v>544</v>
      </c>
      <c r="K11" s="3" t="s">
        <v>545</v>
      </c>
    </row>
    <row r="12" spans="1:12" ht="39.950000000000003" customHeight="1" x14ac:dyDescent="0.25">
      <c r="A12" s="3" t="s">
        <v>370</v>
      </c>
      <c r="B12" s="3" t="s">
        <v>540</v>
      </c>
      <c r="C12" s="3" t="s">
        <v>540</v>
      </c>
      <c r="D12" s="3" t="s">
        <v>497</v>
      </c>
      <c r="E12" s="3" t="s">
        <v>497</v>
      </c>
      <c r="F12" s="3" t="s">
        <v>498</v>
      </c>
      <c r="G12" s="3" t="s">
        <v>546</v>
      </c>
      <c r="H12" s="3" t="s">
        <v>547</v>
      </c>
      <c r="I12" s="3" t="s">
        <v>548</v>
      </c>
      <c r="J12" s="3" t="s">
        <v>549</v>
      </c>
      <c r="K12" s="3" t="s">
        <v>550</v>
      </c>
    </row>
    <row r="13" spans="1:12" ht="39.950000000000003" customHeight="1" x14ac:dyDescent="0.25">
      <c r="A13" s="3" t="s">
        <v>142</v>
      </c>
      <c r="B13" s="3" t="s">
        <v>540</v>
      </c>
      <c r="C13" s="3" t="s">
        <v>540</v>
      </c>
      <c r="D13" s="3" t="s">
        <v>497</v>
      </c>
      <c r="E13" s="3" t="s">
        <v>497</v>
      </c>
      <c r="F13" s="3" t="s">
        <v>498</v>
      </c>
      <c r="G13" s="3" t="s">
        <v>551</v>
      </c>
      <c r="H13" s="3" t="s">
        <v>552</v>
      </c>
      <c r="I13" s="3" t="s">
        <v>527</v>
      </c>
      <c r="J13" s="3" t="s">
        <v>553</v>
      </c>
      <c r="K13" s="3" t="s">
        <v>554</v>
      </c>
    </row>
    <row r="14" spans="1:12" ht="39.950000000000003" customHeight="1" x14ac:dyDescent="0.25">
      <c r="A14" s="3" t="s">
        <v>258</v>
      </c>
      <c r="B14" s="3" t="s">
        <v>540</v>
      </c>
      <c r="C14" s="3" t="s">
        <v>540</v>
      </c>
      <c r="D14" s="3" t="s">
        <v>497</v>
      </c>
      <c r="E14" s="3" t="s">
        <v>497</v>
      </c>
      <c r="F14" s="3" t="s">
        <v>498</v>
      </c>
      <c r="G14" s="3" t="s">
        <v>504</v>
      </c>
      <c r="H14" s="3" t="s">
        <v>505</v>
      </c>
      <c r="I14" s="3" t="s">
        <v>506</v>
      </c>
      <c r="J14" s="3" t="s">
        <v>555</v>
      </c>
      <c r="K14" s="3" t="s">
        <v>556</v>
      </c>
    </row>
    <row r="15" spans="1:12" ht="39.950000000000003" customHeight="1" x14ac:dyDescent="0.25">
      <c r="A15" s="3" t="s">
        <v>232</v>
      </c>
      <c r="B15" s="3" t="s">
        <v>557</v>
      </c>
      <c r="D15" s="3" t="s">
        <v>557</v>
      </c>
      <c r="E15" s="3" t="s">
        <v>497</v>
      </c>
      <c r="F15" s="3" t="s">
        <v>1</v>
      </c>
      <c r="G15" s="3" t="s">
        <v>558</v>
      </c>
      <c r="H15" s="3" t="s">
        <v>559</v>
      </c>
      <c r="I15" s="3" t="s">
        <v>560</v>
      </c>
      <c r="J15" s="3" t="s">
        <v>561</v>
      </c>
      <c r="K15" s="3" t="s">
        <v>562</v>
      </c>
    </row>
    <row r="16" spans="1:12" ht="39.950000000000003" customHeight="1" x14ac:dyDescent="0.25">
      <c r="A16" s="3" t="s">
        <v>88</v>
      </c>
      <c r="B16" s="3" t="s">
        <v>557</v>
      </c>
      <c r="D16" s="3" t="s">
        <v>557</v>
      </c>
      <c r="F16" s="3" t="s">
        <v>1</v>
      </c>
      <c r="G16" s="3" t="s">
        <v>563</v>
      </c>
      <c r="H16" s="3" t="s">
        <v>500</v>
      </c>
      <c r="I16" s="3" t="s">
        <v>564</v>
      </c>
      <c r="J16" s="3" t="s">
        <v>565</v>
      </c>
      <c r="K16" s="3" t="s">
        <v>566</v>
      </c>
    </row>
    <row r="17" spans="1:12" ht="39.950000000000003" customHeight="1" x14ac:dyDescent="0.25">
      <c r="A17" s="3" t="s">
        <v>169</v>
      </c>
      <c r="B17" s="3" t="s">
        <v>567</v>
      </c>
      <c r="C17" s="3" t="s">
        <v>567</v>
      </c>
      <c r="D17" s="3" t="s">
        <v>497</v>
      </c>
      <c r="E17" s="3" t="s">
        <v>567</v>
      </c>
      <c r="F17" s="3" t="s">
        <v>498</v>
      </c>
      <c r="G17" s="3" t="s">
        <v>568</v>
      </c>
      <c r="H17" s="3" t="s">
        <v>522</v>
      </c>
      <c r="I17" s="3" t="s">
        <v>569</v>
      </c>
      <c r="J17" s="3" t="s">
        <v>570</v>
      </c>
      <c r="K17" s="3" t="s">
        <v>571</v>
      </c>
    </row>
    <row r="18" spans="1:12" ht="39.950000000000003" customHeight="1" x14ac:dyDescent="0.25">
      <c r="A18" s="3" t="s">
        <v>91</v>
      </c>
      <c r="B18" s="3" t="s">
        <v>567</v>
      </c>
      <c r="C18" s="3" t="s">
        <v>567</v>
      </c>
      <c r="D18" s="3" t="s">
        <v>497</v>
      </c>
      <c r="E18" s="3" t="s">
        <v>567</v>
      </c>
      <c r="F18" s="3" t="s">
        <v>498</v>
      </c>
      <c r="G18" s="3" t="s">
        <v>572</v>
      </c>
      <c r="H18" s="3" t="s">
        <v>573</v>
      </c>
      <c r="I18" s="3" t="s">
        <v>574</v>
      </c>
      <c r="J18" s="3" t="s">
        <v>575</v>
      </c>
      <c r="K18" s="3" t="s">
        <v>576</v>
      </c>
    </row>
    <row r="19" spans="1:12" ht="39.950000000000003" customHeight="1" x14ac:dyDescent="0.25">
      <c r="A19" s="3" t="s">
        <v>194</v>
      </c>
      <c r="B19" s="3" t="s">
        <v>567</v>
      </c>
      <c r="C19" s="3" t="s">
        <v>567</v>
      </c>
      <c r="D19" s="3" t="s">
        <v>497</v>
      </c>
      <c r="E19" s="3" t="s">
        <v>567</v>
      </c>
      <c r="F19" s="3" t="s">
        <v>498</v>
      </c>
      <c r="G19" s="3" t="s">
        <v>987</v>
      </c>
      <c r="H19" s="3" t="s">
        <v>577</v>
      </c>
      <c r="I19" s="3" t="s">
        <v>578</v>
      </c>
      <c r="J19" s="3" t="s">
        <v>579</v>
      </c>
      <c r="K19" s="5" t="s">
        <v>580</v>
      </c>
      <c r="L19" t="s">
        <v>988</v>
      </c>
    </row>
    <row r="20" spans="1:12" ht="39.950000000000003" customHeight="1" x14ac:dyDescent="0.25">
      <c r="A20" s="3" t="s">
        <v>145</v>
      </c>
      <c r="B20" s="3" t="s">
        <v>567</v>
      </c>
      <c r="C20" s="3" t="s">
        <v>567</v>
      </c>
      <c r="D20" s="3" t="s">
        <v>497</v>
      </c>
      <c r="E20" s="3" t="s">
        <v>567</v>
      </c>
      <c r="F20" s="3" t="s">
        <v>498</v>
      </c>
      <c r="G20" s="3" t="s">
        <v>581</v>
      </c>
      <c r="H20" s="3" t="s">
        <v>526</v>
      </c>
      <c r="I20" s="3" t="s">
        <v>582</v>
      </c>
      <c r="J20" s="3" t="s">
        <v>583</v>
      </c>
      <c r="K20" s="3" t="s">
        <v>584</v>
      </c>
    </row>
    <row r="21" spans="1:12" ht="39.950000000000003" customHeight="1" x14ac:dyDescent="0.25">
      <c r="A21" s="3" t="s">
        <v>85</v>
      </c>
      <c r="B21" s="3" t="s">
        <v>567</v>
      </c>
      <c r="C21" s="3" t="s">
        <v>567</v>
      </c>
      <c r="D21" s="3" t="s">
        <v>497</v>
      </c>
      <c r="E21" s="3" t="s">
        <v>567</v>
      </c>
      <c r="F21" s="3" t="s">
        <v>498</v>
      </c>
      <c r="G21" s="3" t="s">
        <v>585</v>
      </c>
      <c r="H21" s="3" t="s">
        <v>586</v>
      </c>
      <c r="I21" s="3" t="s">
        <v>587</v>
      </c>
      <c r="J21" s="3" t="s">
        <v>588</v>
      </c>
      <c r="K21" s="3" t="s">
        <v>589</v>
      </c>
    </row>
    <row r="22" spans="1:12" ht="39.950000000000003" customHeight="1" x14ac:dyDescent="0.25">
      <c r="A22" s="3" t="s">
        <v>119</v>
      </c>
      <c r="B22" s="3" t="s">
        <v>590</v>
      </c>
      <c r="C22" s="3" t="s">
        <v>590</v>
      </c>
      <c r="D22" s="3" t="s">
        <v>590</v>
      </c>
      <c r="E22" s="3" t="s">
        <v>590</v>
      </c>
      <c r="F22" s="3" t="s">
        <v>498</v>
      </c>
      <c r="G22" s="3" t="s">
        <v>591</v>
      </c>
      <c r="H22" s="3" t="s">
        <v>552</v>
      </c>
      <c r="I22" s="3" t="s">
        <v>592</v>
      </c>
      <c r="J22" s="3" t="s">
        <v>593</v>
      </c>
      <c r="K22" s="3" t="s">
        <v>594</v>
      </c>
    </row>
    <row r="23" spans="1:12" ht="39.950000000000003" customHeight="1" x14ac:dyDescent="0.25">
      <c r="A23" s="3" t="s">
        <v>595</v>
      </c>
      <c r="B23" s="3" t="s">
        <v>590</v>
      </c>
      <c r="C23" s="3" t="s">
        <v>590</v>
      </c>
      <c r="D23" s="3" t="s">
        <v>590</v>
      </c>
      <c r="E23" s="3" t="s">
        <v>590</v>
      </c>
      <c r="F23" s="3" t="s">
        <v>498</v>
      </c>
      <c r="G23" s="3" t="s">
        <v>596</v>
      </c>
      <c r="H23" s="3" t="s">
        <v>597</v>
      </c>
      <c r="I23" s="3" t="s">
        <v>598</v>
      </c>
      <c r="J23" s="3" t="s">
        <v>599</v>
      </c>
      <c r="K23" s="3" t="s">
        <v>600</v>
      </c>
    </row>
    <row r="24" spans="1:12" ht="39.950000000000003" customHeight="1" x14ac:dyDescent="0.25">
      <c r="A24" s="3" t="s">
        <v>334</v>
      </c>
      <c r="B24" s="3" t="s">
        <v>590</v>
      </c>
      <c r="C24" s="3" t="s">
        <v>590</v>
      </c>
      <c r="D24" s="3" t="s">
        <v>590</v>
      </c>
      <c r="E24" s="3" t="s">
        <v>590</v>
      </c>
      <c r="F24" s="3" t="s">
        <v>498</v>
      </c>
      <c r="G24" s="3" t="s">
        <v>601</v>
      </c>
      <c r="H24" s="3" t="s">
        <v>547</v>
      </c>
      <c r="I24" s="3" t="s">
        <v>602</v>
      </c>
      <c r="J24" s="3" t="s">
        <v>603</v>
      </c>
      <c r="K24" s="3" t="s">
        <v>604</v>
      </c>
    </row>
    <row r="25" spans="1:12" ht="39.950000000000003" customHeight="1" x14ac:dyDescent="0.25">
      <c r="A25" s="3" t="s">
        <v>605</v>
      </c>
      <c r="B25" s="3" t="s">
        <v>590</v>
      </c>
      <c r="C25" s="3" t="s">
        <v>590</v>
      </c>
      <c r="D25" s="3" t="s">
        <v>590</v>
      </c>
      <c r="E25" s="3" t="s">
        <v>590</v>
      </c>
      <c r="F25" s="3" t="s">
        <v>498</v>
      </c>
      <c r="G25" s="3" t="s">
        <v>606</v>
      </c>
      <c r="H25" s="3" t="s">
        <v>559</v>
      </c>
      <c r="I25" s="3" t="s">
        <v>607</v>
      </c>
      <c r="J25" s="3" t="s">
        <v>608</v>
      </c>
      <c r="K25" s="3" t="s">
        <v>609</v>
      </c>
    </row>
    <row r="26" spans="1:12" ht="39.950000000000003" customHeight="1" x14ac:dyDescent="0.25">
      <c r="A26" s="3" t="s">
        <v>107</v>
      </c>
      <c r="B26" s="3" t="s">
        <v>590</v>
      </c>
      <c r="C26" s="3" t="s">
        <v>590</v>
      </c>
      <c r="D26" s="3" t="s">
        <v>590</v>
      </c>
      <c r="E26" s="3" t="s">
        <v>590</v>
      </c>
      <c r="F26" s="3" t="s">
        <v>498</v>
      </c>
      <c r="G26" s="3" t="s">
        <v>610</v>
      </c>
      <c r="H26" s="3" t="s">
        <v>611</v>
      </c>
      <c r="I26" s="3" t="s">
        <v>612</v>
      </c>
      <c r="J26" s="3" t="s">
        <v>613</v>
      </c>
      <c r="K26" s="3" t="s">
        <v>614</v>
      </c>
    </row>
    <row r="27" spans="1:12" ht="39.950000000000003" customHeight="1" x14ac:dyDescent="0.25">
      <c r="A27" s="3" t="s">
        <v>94</v>
      </c>
      <c r="B27" s="3" t="s">
        <v>615</v>
      </c>
      <c r="C27" s="3" t="s">
        <v>615</v>
      </c>
      <c r="D27" s="3" t="s">
        <v>616</v>
      </c>
      <c r="E27" s="3" t="s">
        <v>616</v>
      </c>
      <c r="F27" s="3" t="s">
        <v>498</v>
      </c>
      <c r="G27" s="3" t="s">
        <v>617</v>
      </c>
      <c r="H27" s="3" t="s">
        <v>618</v>
      </c>
      <c r="I27" s="3" t="s">
        <v>619</v>
      </c>
      <c r="J27" s="3" t="s">
        <v>620</v>
      </c>
      <c r="K27" s="3" t="s">
        <v>621</v>
      </c>
    </row>
    <row r="28" spans="1:12" ht="39.950000000000003" customHeight="1" x14ac:dyDescent="0.25">
      <c r="A28" s="3" t="s">
        <v>129</v>
      </c>
      <c r="B28" s="3" t="s">
        <v>615</v>
      </c>
      <c r="C28" s="3" t="s">
        <v>615</v>
      </c>
      <c r="D28" s="3" t="s">
        <v>616</v>
      </c>
      <c r="E28" s="3" t="s">
        <v>616</v>
      </c>
      <c r="F28" s="3" t="s">
        <v>498</v>
      </c>
      <c r="G28" s="3" t="s">
        <v>622</v>
      </c>
      <c r="H28" s="3" t="s">
        <v>623</v>
      </c>
      <c r="I28" s="3" t="s">
        <v>624</v>
      </c>
      <c r="J28" s="3" t="s">
        <v>625</v>
      </c>
      <c r="K28" s="3" t="s">
        <v>626</v>
      </c>
    </row>
    <row r="29" spans="1:12" ht="39.950000000000003" customHeight="1" x14ac:dyDescent="0.25">
      <c r="A29" s="3" t="s">
        <v>322</v>
      </c>
      <c r="B29" s="3" t="s">
        <v>567</v>
      </c>
      <c r="C29" s="3" t="s">
        <v>567</v>
      </c>
      <c r="D29" s="3" t="s">
        <v>497</v>
      </c>
      <c r="E29" s="3" t="s">
        <v>567</v>
      </c>
      <c r="F29" s="3" t="s">
        <v>498</v>
      </c>
      <c r="G29" s="3" t="s">
        <v>585</v>
      </c>
      <c r="H29" s="3" t="s">
        <v>586</v>
      </c>
      <c r="I29" s="5" t="s">
        <v>627</v>
      </c>
      <c r="J29" s="3" t="s">
        <v>628</v>
      </c>
      <c r="K29" s="5" t="s">
        <v>629</v>
      </c>
    </row>
    <row r="30" spans="1:12" ht="39.950000000000003" customHeight="1" x14ac:dyDescent="0.25">
      <c r="A30" s="3" t="s">
        <v>324</v>
      </c>
      <c r="B30" s="3" t="s">
        <v>567</v>
      </c>
      <c r="C30" s="3" t="s">
        <v>567</v>
      </c>
      <c r="D30" s="3" t="s">
        <v>497</v>
      </c>
      <c r="E30" s="3" t="s">
        <v>567</v>
      </c>
      <c r="F30" s="3" t="s">
        <v>498</v>
      </c>
      <c r="G30" s="10" t="s">
        <v>630</v>
      </c>
      <c r="H30" s="6" t="s">
        <v>631</v>
      </c>
      <c r="I30" s="3" t="s">
        <v>632</v>
      </c>
      <c r="J30" s="6" t="s">
        <v>633</v>
      </c>
      <c r="K30" s="3" t="s">
        <v>634</v>
      </c>
    </row>
    <row r="31" spans="1:12" ht="39.950000000000003" customHeight="1" x14ac:dyDescent="0.25">
      <c r="A31" s="6" t="s">
        <v>340</v>
      </c>
      <c r="B31" s="6" t="s">
        <v>567</v>
      </c>
      <c r="C31" s="6" t="s">
        <v>567</v>
      </c>
      <c r="D31" s="3" t="s">
        <v>497</v>
      </c>
      <c r="E31" s="3" t="s">
        <v>567</v>
      </c>
      <c r="F31" s="3" t="s">
        <v>498</v>
      </c>
      <c r="G31" s="6" t="s">
        <v>635</v>
      </c>
      <c r="H31" s="6" t="s">
        <v>636</v>
      </c>
      <c r="I31" s="3" t="s">
        <v>637</v>
      </c>
      <c r="J31" s="6" t="s">
        <v>638</v>
      </c>
      <c r="K31" s="3" t="s">
        <v>639</v>
      </c>
    </row>
    <row r="32" spans="1:12" ht="39.950000000000003" customHeight="1" x14ac:dyDescent="0.25">
      <c r="A32" s="6" t="s">
        <v>267</v>
      </c>
      <c r="B32" s="6" t="s">
        <v>567</v>
      </c>
      <c r="C32" s="6" t="s">
        <v>567</v>
      </c>
      <c r="D32" s="3" t="s">
        <v>497</v>
      </c>
      <c r="E32" s="3" t="s">
        <v>567</v>
      </c>
      <c r="F32" s="3" t="s">
        <v>498</v>
      </c>
      <c r="G32" s="3" t="s">
        <v>995</v>
      </c>
      <c r="H32" s="6" t="s">
        <v>640</v>
      </c>
      <c r="I32" s="3" t="s">
        <v>641</v>
      </c>
      <c r="J32" s="6" t="s">
        <v>642</v>
      </c>
      <c r="K32" s="3" t="s">
        <v>643</v>
      </c>
      <c r="L32" s="3" t="s">
        <v>996</v>
      </c>
    </row>
    <row r="33" spans="1:12" ht="39.950000000000003" customHeight="1" x14ac:dyDescent="0.25">
      <c r="A33" s="6" t="s">
        <v>353</v>
      </c>
      <c r="B33" s="3" t="s">
        <v>644</v>
      </c>
      <c r="C33" s="3" t="s">
        <v>644</v>
      </c>
      <c r="D33" s="3" t="s">
        <v>644</v>
      </c>
      <c r="E33" s="3" t="s">
        <v>644</v>
      </c>
      <c r="F33" s="3" t="s">
        <v>498</v>
      </c>
      <c r="G33" s="6" t="s">
        <v>645</v>
      </c>
      <c r="H33" s="6" t="s">
        <v>500</v>
      </c>
      <c r="I33" s="3" t="s">
        <v>646</v>
      </c>
      <c r="J33" s="8" t="s">
        <v>647</v>
      </c>
      <c r="K33" s="3" t="s">
        <v>648</v>
      </c>
    </row>
    <row r="34" spans="1:12" ht="39.950000000000003" customHeight="1" x14ac:dyDescent="0.25">
      <c r="A34" s="3" t="s">
        <v>212</v>
      </c>
      <c r="B34" s="3" t="s">
        <v>496</v>
      </c>
      <c r="C34" s="3" t="s">
        <v>496</v>
      </c>
      <c r="D34" s="3" t="s">
        <v>497</v>
      </c>
      <c r="E34" s="3" t="s">
        <v>497</v>
      </c>
      <c r="F34" s="3" t="s">
        <v>498</v>
      </c>
      <c r="G34" s="3" t="s">
        <v>649</v>
      </c>
      <c r="H34" s="3" t="s">
        <v>547</v>
      </c>
      <c r="I34" s="3" t="s">
        <v>650</v>
      </c>
      <c r="J34" s="3" t="s">
        <v>651</v>
      </c>
      <c r="K34" s="3" t="s">
        <v>652</v>
      </c>
    </row>
    <row r="35" spans="1:12" ht="39.950000000000003" customHeight="1" x14ac:dyDescent="0.25">
      <c r="A35" s="3" t="s">
        <v>407</v>
      </c>
      <c r="B35" s="3" t="s">
        <v>567</v>
      </c>
      <c r="C35" s="3" t="s">
        <v>567</v>
      </c>
      <c r="D35" s="3" t="s">
        <v>497</v>
      </c>
      <c r="E35" s="3" t="s">
        <v>567</v>
      </c>
      <c r="F35" s="3" t="s">
        <v>498</v>
      </c>
      <c r="G35" s="3" t="s">
        <v>653</v>
      </c>
      <c r="H35" s="3" t="s">
        <v>559</v>
      </c>
      <c r="I35" s="5" t="s">
        <v>654</v>
      </c>
      <c r="J35" s="3" t="s">
        <v>655</v>
      </c>
      <c r="K35" s="3" t="s">
        <v>656</v>
      </c>
    </row>
    <row r="36" spans="1:12" ht="44.25" customHeight="1" x14ac:dyDescent="0.25">
      <c r="A36" s="3" t="s">
        <v>429</v>
      </c>
      <c r="B36" s="3" t="s">
        <v>567</v>
      </c>
      <c r="C36" s="3" t="s">
        <v>567</v>
      </c>
      <c r="D36" s="3" t="s">
        <v>497</v>
      </c>
      <c r="E36" s="3" t="s">
        <v>567</v>
      </c>
      <c r="F36" s="3" t="s">
        <v>498</v>
      </c>
      <c r="G36" s="3" t="s">
        <v>998</v>
      </c>
      <c r="H36" s="3" t="s">
        <v>657</v>
      </c>
      <c r="I36" s="3" t="s">
        <v>658</v>
      </c>
      <c r="J36" s="3" t="s">
        <v>659</v>
      </c>
      <c r="K36" s="39" t="s">
        <v>660</v>
      </c>
      <c r="L36" t="s">
        <v>989</v>
      </c>
    </row>
    <row r="37" spans="1:12" ht="72" customHeight="1" x14ac:dyDescent="0.25">
      <c r="A37" s="3" t="s">
        <v>445</v>
      </c>
      <c r="B37" s="3" t="s">
        <v>615</v>
      </c>
      <c r="C37" s="3" t="s">
        <v>615</v>
      </c>
      <c r="D37" s="3" t="s">
        <v>616</v>
      </c>
      <c r="E37" s="3" t="s">
        <v>616</v>
      </c>
      <c r="F37" s="3" t="s">
        <v>498</v>
      </c>
      <c r="G37" s="3" t="s">
        <v>661</v>
      </c>
      <c r="H37" s="3" t="s">
        <v>547</v>
      </c>
      <c r="I37" s="5" t="s">
        <v>662</v>
      </c>
      <c r="J37" s="3" t="s">
        <v>663</v>
      </c>
      <c r="K37" s="5" t="s">
        <v>664</v>
      </c>
    </row>
    <row r="38" spans="1:12" ht="29.25" customHeight="1" x14ac:dyDescent="0.25">
      <c r="A38" s="3" t="s">
        <v>448</v>
      </c>
      <c r="B38" s="3" t="s">
        <v>615</v>
      </c>
      <c r="C38" s="3" t="s">
        <v>615</v>
      </c>
      <c r="D38" s="3" t="s">
        <v>616</v>
      </c>
      <c r="E38" s="3" t="s">
        <v>616</v>
      </c>
      <c r="F38" s="3" t="s">
        <v>498</v>
      </c>
      <c r="G38" s="3" t="s">
        <v>665</v>
      </c>
      <c r="H38" s="3" t="s">
        <v>522</v>
      </c>
      <c r="I38" s="5" t="s">
        <v>666</v>
      </c>
      <c r="J38" s="4" t="s">
        <v>667</v>
      </c>
      <c r="K38" s="3" t="s">
        <v>668</v>
      </c>
    </row>
    <row r="39" spans="1:12" ht="34.5" customHeight="1" x14ac:dyDescent="0.25">
      <c r="A39" s="3" t="s">
        <v>450</v>
      </c>
      <c r="B39" s="3" t="s">
        <v>615</v>
      </c>
      <c r="C39" s="3" t="s">
        <v>615</v>
      </c>
      <c r="D39" s="3" t="s">
        <v>616</v>
      </c>
      <c r="E39" s="3" t="s">
        <v>616</v>
      </c>
      <c r="F39" s="3" t="s">
        <v>498</v>
      </c>
      <c r="G39" s="3" t="s">
        <v>669</v>
      </c>
      <c r="H39" s="3" t="s">
        <v>597</v>
      </c>
      <c r="I39" s="5" t="s">
        <v>666</v>
      </c>
      <c r="J39" s="4" t="s">
        <v>670</v>
      </c>
      <c r="K39" s="3" t="s">
        <v>671</v>
      </c>
    </row>
    <row r="40" spans="1:12" ht="47.25" customHeight="1" x14ac:dyDescent="0.25">
      <c r="A40" s="3" t="s">
        <v>452</v>
      </c>
      <c r="B40" s="3" t="s">
        <v>615</v>
      </c>
      <c r="C40" s="3" t="s">
        <v>615</v>
      </c>
      <c r="D40" s="3" t="s">
        <v>616</v>
      </c>
      <c r="E40" s="3" t="s">
        <v>616</v>
      </c>
      <c r="F40" s="3" t="s">
        <v>498</v>
      </c>
      <c r="G40" s="3" t="s">
        <v>672</v>
      </c>
      <c r="H40" s="3" t="s">
        <v>673</v>
      </c>
      <c r="I40" s="4" t="s">
        <v>674</v>
      </c>
      <c r="J40" s="3" t="s">
        <v>675</v>
      </c>
      <c r="K40" s="3" t="s">
        <v>676</v>
      </c>
    </row>
    <row r="41" spans="1:12" ht="49.5" customHeight="1" x14ac:dyDescent="0.25">
      <c r="A41" s="3" t="s">
        <v>455</v>
      </c>
      <c r="B41" s="3" t="s">
        <v>615</v>
      </c>
      <c r="C41" s="3" t="s">
        <v>615</v>
      </c>
      <c r="D41" s="3" t="s">
        <v>616</v>
      </c>
      <c r="E41" s="3" t="s">
        <v>616</v>
      </c>
      <c r="F41" s="3" t="s">
        <v>498</v>
      </c>
      <c r="G41" s="3" t="s">
        <v>677</v>
      </c>
      <c r="H41" s="3" t="s">
        <v>500</v>
      </c>
      <c r="I41" s="14" t="s">
        <v>678</v>
      </c>
      <c r="J41" s="13" t="s">
        <v>679</v>
      </c>
      <c r="K41" s="3" t="s">
        <v>680</v>
      </c>
    </row>
    <row r="42" spans="1:12" ht="72" customHeight="1" x14ac:dyDescent="0.25">
      <c r="A42" s="11" t="s">
        <v>459</v>
      </c>
      <c r="B42" s="11" t="s">
        <v>567</v>
      </c>
      <c r="C42" s="11" t="s">
        <v>567</v>
      </c>
      <c r="D42" s="3" t="s">
        <v>497</v>
      </c>
      <c r="E42" s="11" t="s">
        <v>567</v>
      </c>
      <c r="F42" s="3" t="s">
        <v>498</v>
      </c>
      <c r="G42" s="3" t="s">
        <v>997</v>
      </c>
      <c r="H42" s="11" t="s">
        <v>681</v>
      </c>
      <c r="I42" s="13" t="s">
        <v>682</v>
      </c>
      <c r="J42" s="13" t="s">
        <v>683</v>
      </c>
      <c r="K42" s="3" t="s">
        <v>684</v>
      </c>
      <c r="L42" t="s">
        <v>990</v>
      </c>
    </row>
    <row r="43" spans="1:12" ht="72" customHeight="1" x14ac:dyDescent="0.25">
      <c r="A43" s="11" t="s">
        <v>477</v>
      </c>
      <c r="B43" s="3" t="s">
        <v>644</v>
      </c>
      <c r="C43" s="3" t="s">
        <v>644</v>
      </c>
      <c r="D43" s="3" t="s">
        <v>644</v>
      </c>
      <c r="E43" s="3" t="s">
        <v>644</v>
      </c>
      <c r="F43" s="3" t="s">
        <v>498</v>
      </c>
      <c r="G43" s="11" t="s">
        <v>685</v>
      </c>
      <c r="H43" s="11" t="s">
        <v>552</v>
      </c>
      <c r="I43" s="5" t="s">
        <v>686</v>
      </c>
      <c r="J43" s="11" t="s">
        <v>687</v>
      </c>
      <c r="K43" s="5" t="s">
        <v>688</v>
      </c>
    </row>
    <row r="44" spans="1:12" ht="72" customHeight="1" x14ac:dyDescent="0.25">
      <c r="A44" s="11" t="s">
        <v>689</v>
      </c>
      <c r="B44" s="3" t="s">
        <v>644</v>
      </c>
      <c r="C44" s="3" t="s">
        <v>644</v>
      </c>
      <c r="D44" s="3" t="s">
        <v>644</v>
      </c>
      <c r="E44" s="3" t="s">
        <v>644</v>
      </c>
      <c r="F44" s="11" t="s">
        <v>498</v>
      </c>
      <c r="G44" s="11" t="s">
        <v>690</v>
      </c>
      <c r="H44" s="11" t="s">
        <v>500</v>
      </c>
      <c r="I44" s="5" t="s">
        <v>691</v>
      </c>
      <c r="J44" s="11" t="s">
        <v>692</v>
      </c>
      <c r="K44" s="5" t="s">
        <v>693</v>
      </c>
    </row>
    <row r="45" spans="1:12" ht="72" customHeight="1" x14ac:dyDescent="0.25">
      <c r="A45" s="15" t="s">
        <v>694</v>
      </c>
      <c r="B45" s="28" t="s">
        <v>695</v>
      </c>
      <c r="C45" s="28"/>
      <c r="D45" s="3" t="s">
        <v>497</v>
      </c>
      <c r="E45" s="11"/>
      <c r="F45" s="3" t="s">
        <v>1</v>
      </c>
      <c r="G45" s="13" t="s">
        <v>696</v>
      </c>
      <c r="H45" s="16" t="s">
        <v>500</v>
      </c>
      <c r="I45" s="5" t="s">
        <v>697</v>
      </c>
      <c r="J45" s="11" t="s">
        <v>698</v>
      </c>
      <c r="K45" s="3" t="s">
        <v>699</v>
      </c>
    </row>
    <row r="46" spans="1:12" ht="72" customHeight="1" x14ac:dyDescent="0.25">
      <c r="A46" s="13" t="s">
        <v>700</v>
      </c>
      <c r="B46" s="11" t="s">
        <v>496</v>
      </c>
      <c r="C46" s="11" t="s">
        <v>496</v>
      </c>
      <c r="D46" s="3" t="s">
        <v>497</v>
      </c>
      <c r="E46" s="11" t="s">
        <v>497</v>
      </c>
      <c r="F46" s="11" t="s">
        <v>498</v>
      </c>
      <c r="G46" s="11" t="s">
        <v>701</v>
      </c>
      <c r="H46" s="11" t="s">
        <v>702</v>
      </c>
      <c r="I46" s="13" t="s">
        <v>703</v>
      </c>
      <c r="J46" s="13" t="s">
        <v>704</v>
      </c>
      <c r="K46" s="3" t="s">
        <v>705</v>
      </c>
    </row>
    <row r="47" spans="1:12" ht="72" customHeight="1" x14ac:dyDescent="0.25">
      <c r="A47" s="13" t="s">
        <v>706</v>
      </c>
      <c r="B47" s="11" t="s">
        <v>557</v>
      </c>
      <c r="C47" s="11"/>
      <c r="D47" s="11" t="s">
        <v>557</v>
      </c>
      <c r="E47" s="11"/>
      <c r="F47" s="11" t="s">
        <v>1</v>
      </c>
      <c r="G47" s="13" t="s">
        <v>707</v>
      </c>
      <c r="H47" s="11" t="s">
        <v>708</v>
      </c>
      <c r="I47" s="11" t="s">
        <v>709</v>
      </c>
      <c r="J47" s="13" t="s">
        <v>710</v>
      </c>
      <c r="K47" s="3" t="s">
        <v>711</v>
      </c>
    </row>
    <row r="48" spans="1:12" ht="72" customHeight="1" x14ac:dyDescent="0.25">
      <c r="A48" s="13" t="s">
        <v>712</v>
      </c>
      <c r="B48" s="11" t="s">
        <v>557</v>
      </c>
      <c r="C48" s="11"/>
      <c r="D48" s="11" t="s">
        <v>557</v>
      </c>
      <c r="E48" s="11"/>
      <c r="F48" s="11" t="s">
        <v>1</v>
      </c>
      <c r="G48" s="13" t="s">
        <v>713</v>
      </c>
      <c r="H48" s="11" t="s">
        <v>714</v>
      </c>
      <c r="I48" s="5" t="s">
        <v>715</v>
      </c>
      <c r="J48" s="13" t="s">
        <v>716</v>
      </c>
      <c r="K48" s="3" t="s">
        <v>717</v>
      </c>
    </row>
    <row r="49" spans="1:11" ht="72" customHeight="1" x14ac:dyDescent="0.25">
      <c r="A49" s="13" t="s">
        <v>718</v>
      </c>
      <c r="B49" s="11" t="s">
        <v>557</v>
      </c>
      <c r="C49" s="11"/>
      <c r="D49" s="11" t="s">
        <v>557</v>
      </c>
      <c r="E49" s="11"/>
      <c r="F49" s="11" t="s">
        <v>1</v>
      </c>
      <c r="G49" s="13" t="s">
        <v>719</v>
      </c>
      <c r="H49" s="11" t="s">
        <v>720</v>
      </c>
      <c r="I49" s="5" t="s">
        <v>721</v>
      </c>
      <c r="J49" s="13" t="s">
        <v>722</v>
      </c>
      <c r="K49" s="3" t="s">
        <v>723</v>
      </c>
    </row>
    <row r="50" spans="1:11" ht="51" customHeight="1" x14ac:dyDescent="0.25">
      <c r="A50" s="13" t="s">
        <v>724</v>
      </c>
      <c r="B50" s="13" t="s">
        <v>567</v>
      </c>
      <c r="C50" s="13" t="s">
        <v>567</v>
      </c>
      <c r="D50" s="3" t="s">
        <v>497</v>
      </c>
      <c r="E50" s="13" t="s">
        <v>567</v>
      </c>
      <c r="F50" s="11" t="s">
        <v>498</v>
      </c>
      <c r="G50" s="13" t="s">
        <v>725</v>
      </c>
      <c r="H50" s="13" t="s">
        <v>726</v>
      </c>
      <c r="I50" s="11" t="s">
        <v>727</v>
      </c>
      <c r="J50" s="13" t="s">
        <v>728</v>
      </c>
      <c r="K50" s="3" t="s">
        <v>729</v>
      </c>
    </row>
    <row r="51" spans="1:11" ht="72" customHeight="1" x14ac:dyDescent="0.25">
      <c r="A51" s="13" t="s">
        <v>730</v>
      </c>
      <c r="B51" s="13" t="s">
        <v>567</v>
      </c>
      <c r="C51" s="13" t="s">
        <v>567</v>
      </c>
      <c r="D51" s="3" t="s">
        <v>497</v>
      </c>
      <c r="E51" s="13" t="s">
        <v>567</v>
      </c>
      <c r="F51" s="13" t="s">
        <v>498</v>
      </c>
      <c r="G51" s="24" t="s">
        <v>731</v>
      </c>
      <c r="H51" s="13" t="s">
        <v>500</v>
      </c>
      <c r="I51" s="13" t="s">
        <v>732</v>
      </c>
      <c r="J51" s="13" t="s">
        <v>733</v>
      </c>
      <c r="K51" s="3" t="s">
        <v>734</v>
      </c>
    </row>
    <row r="52" spans="1:11" ht="72" customHeight="1" x14ac:dyDescent="0.25">
      <c r="A52" s="13" t="s">
        <v>735</v>
      </c>
      <c r="B52" s="13" t="s">
        <v>567</v>
      </c>
      <c r="C52" s="13" t="s">
        <v>567</v>
      </c>
      <c r="D52" s="3" t="s">
        <v>497</v>
      </c>
      <c r="E52" s="13" t="s">
        <v>567</v>
      </c>
      <c r="F52" s="13" t="s">
        <v>498</v>
      </c>
      <c r="G52" s="13" t="s">
        <v>736</v>
      </c>
      <c r="H52" s="13" t="s">
        <v>618</v>
      </c>
      <c r="I52" s="5" t="s">
        <v>737</v>
      </c>
      <c r="J52" s="13" t="s">
        <v>738</v>
      </c>
      <c r="K52" s="3" t="s">
        <v>739</v>
      </c>
    </row>
    <row r="53" spans="1:11" ht="57.6" customHeight="1" x14ac:dyDescent="0.25">
      <c r="A53" s="13" t="s">
        <v>740</v>
      </c>
      <c r="B53" s="11" t="s">
        <v>557</v>
      </c>
      <c r="C53" s="11"/>
      <c r="D53" s="11" t="s">
        <v>557</v>
      </c>
      <c r="E53" s="11"/>
      <c r="F53" s="11" t="s">
        <v>1</v>
      </c>
      <c r="G53" s="11" t="s">
        <v>741</v>
      </c>
      <c r="H53" s="11" t="s">
        <v>552</v>
      </c>
      <c r="I53" s="13" t="s">
        <v>742</v>
      </c>
      <c r="J53" s="13" t="s">
        <v>743</v>
      </c>
      <c r="K53" s="3" t="s">
        <v>744</v>
      </c>
    </row>
    <row r="54" spans="1:11" ht="57.6" customHeight="1" x14ac:dyDescent="0.25">
      <c r="A54" s="13" t="s">
        <v>745</v>
      </c>
      <c r="B54" s="11" t="s">
        <v>557</v>
      </c>
      <c r="C54" s="11"/>
      <c r="D54" s="11" t="s">
        <v>557</v>
      </c>
      <c r="E54" s="11"/>
      <c r="F54" s="11" t="s">
        <v>1</v>
      </c>
      <c r="G54" s="11" t="s">
        <v>746</v>
      </c>
      <c r="H54" s="11" t="s">
        <v>500</v>
      </c>
      <c r="I54" s="5" t="s">
        <v>747</v>
      </c>
      <c r="J54" s="13" t="s">
        <v>748</v>
      </c>
      <c r="K54" s="3" t="s">
        <v>749</v>
      </c>
    </row>
    <row r="55" spans="1:11" ht="72" customHeight="1" x14ac:dyDescent="0.25">
      <c r="A55" s="13" t="s">
        <v>750</v>
      </c>
      <c r="B55" s="11" t="s">
        <v>557</v>
      </c>
      <c r="C55" s="11"/>
      <c r="D55" s="11" t="s">
        <v>557</v>
      </c>
      <c r="E55" s="11"/>
      <c r="F55" s="11" t="s">
        <v>1</v>
      </c>
      <c r="G55" s="13" t="s">
        <v>751</v>
      </c>
      <c r="H55" s="11" t="s">
        <v>559</v>
      </c>
      <c r="I55" s="3" t="s">
        <v>752</v>
      </c>
      <c r="J55" s="13" t="s">
        <v>753</v>
      </c>
      <c r="K55" s="3" t="s">
        <v>754</v>
      </c>
    </row>
    <row r="56" spans="1:11" ht="72" customHeight="1" x14ac:dyDescent="0.25">
      <c r="A56" s="13" t="s">
        <v>253</v>
      </c>
      <c r="B56" s="13" t="s">
        <v>557</v>
      </c>
      <c r="C56" s="13"/>
      <c r="D56" s="11" t="s">
        <v>557</v>
      </c>
      <c r="E56" s="13"/>
      <c r="F56" s="11" t="s">
        <v>1</v>
      </c>
      <c r="G56" s="13" t="s">
        <v>755</v>
      </c>
      <c r="H56" s="13" t="s">
        <v>514</v>
      </c>
      <c r="I56" s="5" t="s">
        <v>756</v>
      </c>
      <c r="J56" s="13" t="s">
        <v>757</v>
      </c>
      <c r="K56" s="3" t="s">
        <v>758</v>
      </c>
    </row>
    <row r="57" spans="1:11" ht="72" customHeight="1" x14ac:dyDescent="0.25">
      <c r="A57" s="13" t="s">
        <v>759</v>
      </c>
      <c r="B57" s="79" t="s">
        <v>760</v>
      </c>
      <c r="C57" s="26"/>
      <c r="D57" s="11" t="s">
        <v>644</v>
      </c>
      <c r="E57" s="11"/>
      <c r="F57" s="13" t="s">
        <v>1</v>
      </c>
      <c r="G57" s="13" t="s">
        <v>761</v>
      </c>
      <c r="H57" s="11" t="s">
        <v>762</v>
      </c>
      <c r="I57" s="14" t="s">
        <v>763</v>
      </c>
      <c r="J57" s="3" t="s">
        <v>764</v>
      </c>
      <c r="K57" s="3" t="s">
        <v>765</v>
      </c>
    </row>
    <row r="58" spans="1:11" ht="86.45" customHeight="1" x14ac:dyDescent="0.25">
      <c r="A58" s="13" t="s">
        <v>766</v>
      </c>
      <c r="B58" s="19" t="s">
        <v>767</v>
      </c>
      <c r="C58" s="19"/>
      <c r="D58" s="11" t="s">
        <v>644</v>
      </c>
      <c r="E58" s="11"/>
      <c r="F58" s="11" t="s">
        <v>1</v>
      </c>
      <c r="G58" s="13" t="s">
        <v>768</v>
      </c>
      <c r="H58" s="13" t="s">
        <v>769</v>
      </c>
      <c r="I58" s="5" t="s">
        <v>770</v>
      </c>
      <c r="J58" s="13" t="s">
        <v>771</v>
      </c>
      <c r="K58" s="5" t="s">
        <v>772</v>
      </c>
    </row>
    <row r="59" spans="1:11" ht="72" customHeight="1" x14ac:dyDescent="0.25">
      <c r="A59" s="13" t="s">
        <v>773</v>
      </c>
      <c r="B59" s="19" t="s">
        <v>767</v>
      </c>
      <c r="C59" s="19"/>
      <c r="D59" s="11" t="s">
        <v>644</v>
      </c>
      <c r="E59" s="11"/>
      <c r="F59" s="13" t="s">
        <v>1</v>
      </c>
      <c r="G59" s="11" t="s">
        <v>774</v>
      </c>
      <c r="H59" s="11" t="s">
        <v>505</v>
      </c>
      <c r="I59" s="5" t="s">
        <v>775</v>
      </c>
      <c r="J59" s="17" t="s">
        <v>776</v>
      </c>
      <c r="K59" s="3" t="s">
        <v>777</v>
      </c>
    </row>
    <row r="60" spans="1:11" ht="72" customHeight="1" x14ac:dyDescent="0.25">
      <c r="A60" s="13" t="s">
        <v>778</v>
      </c>
      <c r="B60" s="19" t="s">
        <v>767</v>
      </c>
      <c r="C60" s="19"/>
      <c r="D60" s="11" t="s">
        <v>644</v>
      </c>
      <c r="E60" s="11"/>
      <c r="F60" s="13" t="s">
        <v>1</v>
      </c>
      <c r="G60" s="13" t="s">
        <v>779</v>
      </c>
      <c r="H60" s="11" t="s">
        <v>681</v>
      </c>
      <c r="I60" s="5" t="s">
        <v>780</v>
      </c>
      <c r="J60" s="13" t="s">
        <v>781</v>
      </c>
      <c r="K60" s="3" t="s">
        <v>782</v>
      </c>
    </row>
    <row r="61" spans="1:11" ht="72" customHeight="1" x14ac:dyDescent="0.25">
      <c r="A61" s="3" t="s">
        <v>783</v>
      </c>
      <c r="B61" s="11" t="s">
        <v>784</v>
      </c>
      <c r="C61" s="11"/>
      <c r="D61" s="11" t="s">
        <v>644</v>
      </c>
      <c r="E61" s="11"/>
      <c r="F61" s="11" t="s">
        <v>1</v>
      </c>
      <c r="G61" s="3" t="s">
        <v>785</v>
      </c>
      <c r="H61" s="11" t="s">
        <v>500</v>
      </c>
      <c r="I61" s="3" t="s">
        <v>786</v>
      </c>
      <c r="J61" s="11" t="s">
        <v>787</v>
      </c>
      <c r="K61" s="3" t="s">
        <v>788</v>
      </c>
    </row>
    <row r="62" spans="1:11" ht="72" customHeight="1" x14ac:dyDescent="0.25">
      <c r="A62" s="11" t="s">
        <v>789</v>
      </c>
      <c r="B62" s="11" t="s">
        <v>784</v>
      </c>
      <c r="C62" s="11"/>
      <c r="D62" s="11" t="s">
        <v>644</v>
      </c>
      <c r="E62" s="11"/>
      <c r="F62" s="11" t="s">
        <v>1</v>
      </c>
      <c r="G62" s="3" t="s">
        <v>785</v>
      </c>
      <c r="H62" s="13" t="s">
        <v>790</v>
      </c>
      <c r="I62" s="3" t="s">
        <v>791</v>
      </c>
      <c r="J62" s="11" t="s">
        <v>792</v>
      </c>
      <c r="K62" s="3" t="s">
        <v>793</v>
      </c>
    </row>
    <row r="63" spans="1:11" ht="48" customHeight="1" x14ac:dyDescent="0.25">
      <c r="A63" s="18" t="s">
        <v>794</v>
      </c>
      <c r="B63" s="3" t="s">
        <v>795</v>
      </c>
      <c r="D63" s="3" t="s">
        <v>497</v>
      </c>
      <c r="F63" s="11" t="s">
        <v>1</v>
      </c>
      <c r="G63" s="19" t="s">
        <v>796</v>
      </c>
      <c r="H63" s="19" t="s">
        <v>510</v>
      </c>
      <c r="I63" s="5" t="s">
        <v>797</v>
      </c>
      <c r="J63" s="19" t="s">
        <v>798</v>
      </c>
      <c r="K63" s="5" t="s">
        <v>799</v>
      </c>
    </row>
    <row r="64" spans="1:11" ht="42" customHeight="1" x14ac:dyDescent="0.25">
      <c r="A64" s="19" t="s">
        <v>800</v>
      </c>
      <c r="B64" s="3" t="s">
        <v>795</v>
      </c>
      <c r="D64" s="3" t="s">
        <v>497</v>
      </c>
      <c r="F64" s="11" t="s">
        <v>1</v>
      </c>
      <c r="G64" s="19" t="s">
        <v>801</v>
      </c>
      <c r="H64" s="19" t="s">
        <v>500</v>
      </c>
      <c r="I64" s="5" t="s">
        <v>802</v>
      </c>
      <c r="J64" s="19" t="s">
        <v>803</v>
      </c>
      <c r="K64" s="3" t="s">
        <v>804</v>
      </c>
    </row>
    <row r="65" spans="1:13" ht="45" customHeight="1" x14ac:dyDescent="0.25">
      <c r="A65" s="19" t="s">
        <v>805</v>
      </c>
      <c r="B65" s="3" t="s">
        <v>795</v>
      </c>
      <c r="D65" s="3" t="s">
        <v>497</v>
      </c>
      <c r="F65" s="11" t="s">
        <v>1</v>
      </c>
      <c r="G65" s="25" t="s">
        <v>806</v>
      </c>
      <c r="H65" s="19" t="s">
        <v>640</v>
      </c>
      <c r="I65" s="3" t="s">
        <v>807</v>
      </c>
      <c r="J65" s="19" t="s">
        <v>808</v>
      </c>
      <c r="K65" s="3" t="s">
        <v>809</v>
      </c>
    </row>
    <row r="66" spans="1:13" ht="72" customHeight="1" x14ac:dyDescent="0.25">
      <c r="A66" s="19" t="s">
        <v>810</v>
      </c>
      <c r="B66" s="3" t="s">
        <v>795</v>
      </c>
      <c r="D66" s="3" t="s">
        <v>497</v>
      </c>
      <c r="F66" s="11" t="s">
        <v>1</v>
      </c>
      <c r="G66" s="25" t="s">
        <v>811</v>
      </c>
      <c r="H66" s="19" t="s">
        <v>536</v>
      </c>
      <c r="I66" s="5" t="s">
        <v>812</v>
      </c>
      <c r="J66" s="19" t="s">
        <v>813</v>
      </c>
      <c r="K66" s="5" t="s">
        <v>814</v>
      </c>
    </row>
    <row r="67" spans="1:13" ht="72" customHeight="1" x14ac:dyDescent="0.25">
      <c r="A67" s="19" t="s">
        <v>815</v>
      </c>
      <c r="B67" s="3" t="s">
        <v>795</v>
      </c>
      <c r="D67" s="3" t="s">
        <v>497</v>
      </c>
      <c r="F67" s="11" t="s">
        <v>1</v>
      </c>
      <c r="G67" s="25" t="s">
        <v>816</v>
      </c>
      <c r="H67" s="19" t="s">
        <v>500</v>
      </c>
      <c r="I67" s="5" t="s">
        <v>817</v>
      </c>
      <c r="J67" s="19" t="s">
        <v>818</v>
      </c>
      <c r="K67" s="3" t="s">
        <v>819</v>
      </c>
    </row>
    <row r="68" spans="1:13" ht="72" customHeight="1" x14ac:dyDescent="0.25">
      <c r="A68" s="19" t="s">
        <v>820</v>
      </c>
      <c r="B68" s="3" t="s">
        <v>795</v>
      </c>
      <c r="D68" s="3" t="s">
        <v>497</v>
      </c>
      <c r="F68" s="11" t="s">
        <v>1</v>
      </c>
      <c r="G68" s="25" t="s">
        <v>821</v>
      </c>
      <c r="H68" s="19" t="s">
        <v>822</v>
      </c>
      <c r="I68" s="5" t="s">
        <v>823</v>
      </c>
      <c r="J68" s="19" t="s">
        <v>824</v>
      </c>
      <c r="K68" s="3" t="s">
        <v>825</v>
      </c>
    </row>
    <row r="69" spans="1:13" ht="409.6" customHeight="1" x14ac:dyDescent="0.25">
      <c r="A69" s="31" t="s">
        <v>197</v>
      </c>
      <c r="B69" s="11" t="s">
        <v>567</v>
      </c>
      <c r="C69" s="11" t="s">
        <v>567</v>
      </c>
      <c r="D69" s="3" t="s">
        <v>497</v>
      </c>
      <c r="E69" s="11" t="s">
        <v>567</v>
      </c>
      <c r="F69" s="3" t="s">
        <v>498</v>
      </c>
      <c r="G69" s="3" t="s">
        <v>585</v>
      </c>
      <c r="H69" s="31" t="s">
        <v>505</v>
      </c>
      <c r="I69" s="14" t="s">
        <v>826</v>
      </c>
      <c r="J69" s="32" t="s">
        <v>827</v>
      </c>
      <c r="K69" s="3" t="s">
        <v>828</v>
      </c>
    </row>
    <row r="70" spans="1:13" ht="409.6" customHeight="1" x14ac:dyDescent="0.25">
      <c r="A70" s="31" t="s">
        <v>188</v>
      </c>
      <c r="B70" s="3" t="s">
        <v>496</v>
      </c>
      <c r="C70" s="3" t="s">
        <v>496</v>
      </c>
      <c r="D70" s="3" t="s">
        <v>497</v>
      </c>
      <c r="E70" s="3" t="s">
        <v>497</v>
      </c>
      <c r="F70" s="3" t="s">
        <v>498</v>
      </c>
      <c r="G70" s="3" t="s">
        <v>976</v>
      </c>
      <c r="H70" s="31" t="s">
        <v>577</v>
      </c>
      <c r="I70" s="3" t="s">
        <v>523</v>
      </c>
      <c r="J70" s="33" t="s">
        <v>829</v>
      </c>
      <c r="K70" s="3" t="s">
        <v>830</v>
      </c>
      <c r="L70" s="3" t="s">
        <v>975</v>
      </c>
      <c r="M70" t="s">
        <v>975</v>
      </c>
    </row>
    <row r="71" spans="1:13" ht="105" x14ac:dyDescent="0.25">
      <c r="A71" s="3" t="s">
        <v>952</v>
      </c>
      <c r="B71" s="3" t="s">
        <v>496</v>
      </c>
      <c r="C71" s="3" t="s">
        <v>496</v>
      </c>
      <c r="D71" s="3" t="s">
        <v>497</v>
      </c>
      <c r="E71" s="3" t="s">
        <v>497</v>
      </c>
      <c r="F71" s="3" t="s">
        <v>498</v>
      </c>
      <c r="G71" s="46" t="s">
        <v>993</v>
      </c>
      <c r="H71" s="63" t="s">
        <v>577</v>
      </c>
      <c r="I71" s="5" t="s">
        <v>953</v>
      </c>
      <c r="J71" s="33" t="s">
        <v>954</v>
      </c>
      <c r="K71" s="3" t="s">
        <v>955</v>
      </c>
      <c r="L71" t="s">
        <v>994</v>
      </c>
    </row>
    <row r="72" spans="1:13" ht="150" x14ac:dyDescent="0.25">
      <c r="A72" s="3" t="s">
        <v>961</v>
      </c>
      <c r="B72" s="11" t="s">
        <v>567</v>
      </c>
      <c r="C72" s="11" t="s">
        <v>567</v>
      </c>
      <c r="D72" s="3" t="s">
        <v>497</v>
      </c>
      <c r="E72" s="11" t="s">
        <v>567</v>
      </c>
      <c r="F72" s="3" t="s">
        <v>498</v>
      </c>
      <c r="G72" s="80" t="s">
        <v>991</v>
      </c>
      <c r="H72" s="63" t="s">
        <v>510</v>
      </c>
      <c r="I72" s="5" t="s">
        <v>963</v>
      </c>
      <c r="J72" s="33" t="s">
        <v>962</v>
      </c>
      <c r="K72" s="71" t="s">
        <v>964</v>
      </c>
      <c r="L72" t="s">
        <v>992</v>
      </c>
    </row>
    <row r="73" spans="1:13" ht="75" x14ac:dyDescent="0.25">
      <c r="A73" s="3" t="s">
        <v>1008</v>
      </c>
      <c r="D73" s="3" t="s">
        <v>616</v>
      </c>
      <c r="E73" s="3" t="s">
        <v>616</v>
      </c>
      <c r="F73" s="3" t="s">
        <v>498</v>
      </c>
      <c r="G73" s="43" t="s">
        <v>1009</v>
      </c>
      <c r="H73" s="81" t="s">
        <v>1010</v>
      </c>
      <c r="I73" s="81" t="s">
        <v>1011</v>
      </c>
      <c r="J73" s="81" t="s">
        <v>1012</v>
      </c>
      <c r="K73" s="3" t="s">
        <v>1014</v>
      </c>
      <c r="L73" s="82" t="s">
        <v>1013</v>
      </c>
    </row>
    <row r="74" spans="1:13" ht="120" x14ac:dyDescent="0.25">
      <c r="A74" s="86" t="s">
        <v>1031</v>
      </c>
      <c r="D74" s="3" t="s">
        <v>616</v>
      </c>
      <c r="E74" s="3" t="s">
        <v>616</v>
      </c>
      <c r="F74" s="3" t="s">
        <v>498</v>
      </c>
      <c r="G74" s="88" t="s">
        <v>1032</v>
      </c>
      <c r="H74" s="90" t="s">
        <v>597</v>
      </c>
      <c r="I74" s="39" t="s">
        <v>1033</v>
      </c>
      <c r="J74" s="87" t="s">
        <v>1034</v>
      </c>
      <c r="K74" s="3" t="s">
        <v>1036</v>
      </c>
      <c r="L74" s="87" t="s">
        <v>1035</v>
      </c>
    </row>
    <row r="75" spans="1:13" ht="135" x14ac:dyDescent="0.25">
      <c r="A75" s="89" t="s">
        <v>1041</v>
      </c>
      <c r="B75" s="3" t="s">
        <v>615</v>
      </c>
      <c r="C75" s="3" t="s">
        <v>615</v>
      </c>
      <c r="D75" s="3" t="s">
        <v>616</v>
      </c>
      <c r="E75" s="3" t="s">
        <v>616</v>
      </c>
      <c r="F75" s="3" t="s">
        <v>498</v>
      </c>
      <c r="G75" s="88" t="s">
        <v>1042</v>
      </c>
      <c r="H75" s="91" t="s">
        <v>505</v>
      </c>
      <c r="I75" s="87" t="s">
        <v>1043</v>
      </c>
      <c r="J75" s="87" t="s">
        <v>1045</v>
      </c>
      <c r="K75" s="3" t="s">
        <v>1046</v>
      </c>
      <c r="L75" s="87" t="s">
        <v>1044</v>
      </c>
    </row>
    <row r="76" spans="1:13" ht="150" x14ac:dyDescent="0.25">
      <c r="A76" s="91" t="s">
        <v>1048</v>
      </c>
      <c r="B76" s="3" t="s">
        <v>615</v>
      </c>
      <c r="C76" s="3" t="s">
        <v>615</v>
      </c>
      <c r="D76" s="3" t="s">
        <v>616</v>
      </c>
      <c r="E76" s="3" t="s">
        <v>616</v>
      </c>
      <c r="F76" s="3" t="s">
        <v>498</v>
      </c>
      <c r="G76" s="101" t="s">
        <v>1064</v>
      </c>
      <c r="H76" s="90" t="s">
        <v>1050</v>
      </c>
      <c r="I76" s="39" t="s">
        <v>1066</v>
      </c>
      <c r="J76" s="90" t="s">
        <v>1051</v>
      </c>
      <c r="K76" s="39" t="s">
        <v>1052</v>
      </c>
      <c r="L76" s="92" t="s">
        <v>1049</v>
      </c>
    </row>
    <row r="77" spans="1:13" ht="360" x14ac:dyDescent="0.25">
      <c r="A77" s="100" t="s">
        <v>1063</v>
      </c>
      <c r="B77" s="3" t="s">
        <v>615</v>
      </c>
      <c r="C77" s="3" t="s">
        <v>615</v>
      </c>
      <c r="D77" s="3" t="s">
        <v>616</v>
      </c>
      <c r="E77" s="3" t="s">
        <v>616</v>
      </c>
      <c r="F77" s="3" t="s">
        <v>498</v>
      </c>
      <c r="G77" s="102" t="s">
        <v>1065</v>
      </c>
      <c r="H77" s="100" t="s">
        <v>586</v>
      </c>
      <c r="I77" s="39" t="s">
        <v>1067</v>
      </c>
      <c r="J77" s="90" t="s">
        <v>1069</v>
      </c>
      <c r="K77" s="39" t="s">
        <v>1062</v>
      </c>
      <c r="L77" s="3" t="s">
        <v>1068</v>
      </c>
    </row>
    <row r="78" spans="1:13" ht="135" x14ac:dyDescent="0.25">
      <c r="A78" s="100" t="s">
        <v>1071</v>
      </c>
      <c r="B78" s="3" t="s">
        <v>615</v>
      </c>
      <c r="C78" s="3" t="s">
        <v>615</v>
      </c>
      <c r="D78" s="3" t="s">
        <v>616</v>
      </c>
      <c r="E78" s="3" t="s">
        <v>616</v>
      </c>
      <c r="F78" s="3" t="s">
        <v>498</v>
      </c>
      <c r="G78" s="102" t="s">
        <v>1072</v>
      </c>
      <c r="H78" s="99" t="s">
        <v>1073</v>
      </c>
      <c r="I78" s="99" t="s">
        <v>1074</v>
      </c>
      <c r="J78" s="99" t="s">
        <v>1075</v>
      </c>
      <c r="K78" s="3" t="s">
        <v>1077</v>
      </c>
      <c r="L78" s="99" t="s">
        <v>1076</v>
      </c>
    </row>
    <row r="79" spans="1:13" ht="120" x14ac:dyDescent="0.25">
      <c r="A79" s="99" t="s">
        <v>1114</v>
      </c>
      <c r="B79" s="13" t="s">
        <v>567</v>
      </c>
      <c r="C79" s="13" t="s">
        <v>567</v>
      </c>
      <c r="D79" s="3" t="s">
        <v>497</v>
      </c>
      <c r="E79" s="13" t="s">
        <v>567</v>
      </c>
      <c r="F79" s="13" t="s">
        <v>498</v>
      </c>
      <c r="G79" s="102" t="s">
        <v>1115</v>
      </c>
      <c r="H79" s="99" t="s">
        <v>536</v>
      </c>
      <c r="I79" s="99" t="s">
        <v>1116</v>
      </c>
      <c r="J79" s="99" t="s">
        <v>1117</v>
      </c>
      <c r="K79" s="3" t="s">
        <v>1119</v>
      </c>
      <c r="L79" s="99" t="s">
        <v>1118</v>
      </c>
    </row>
    <row r="80" spans="1:13" ht="120" x14ac:dyDescent="0.25">
      <c r="A80" s="100" t="s">
        <v>1142</v>
      </c>
      <c r="D80" s="3" t="s">
        <v>616</v>
      </c>
      <c r="E80" s="3" t="s">
        <v>616</v>
      </c>
      <c r="F80" s="13" t="s">
        <v>498</v>
      </c>
      <c r="G80" s="102" t="s">
        <v>1143</v>
      </c>
      <c r="H80" s="99" t="s">
        <v>577</v>
      </c>
      <c r="I80" s="99" t="s">
        <v>1144</v>
      </c>
      <c r="J80" s="99" t="s">
        <v>1145</v>
      </c>
      <c r="K80" s="3" t="s">
        <v>1147</v>
      </c>
      <c r="L80" s="99" t="s">
        <v>1146</v>
      </c>
    </row>
    <row r="81" spans="1:12" ht="150" x14ac:dyDescent="0.25">
      <c r="A81" s="100" t="s">
        <v>1200</v>
      </c>
      <c r="B81" s="3" t="s">
        <v>615</v>
      </c>
      <c r="C81" s="3" t="s">
        <v>615</v>
      </c>
      <c r="D81" s="3" t="s">
        <v>616</v>
      </c>
      <c r="E81" s="3" t="s">
        <v>616</v>
      </c>
      <c r="F81" s="3" t="s">
        <v>498</v>
      </c>
      <c r="G81" s="102" t="s">
        <v>1201</v>
      </c>
      <c r="H81" s="99" t="s">
        <v>552</v>
      </c>
      <c r="I81" s="99" t="s">
        <v>1202</v>
      </c>
      <c r="J81" s="99" t="s">
        <v>1203</v>
      </c>
      <c r="K81" s="39" t="s">
        <v>1205</v>
      </c>
      <c r="L81" s="99" t="s">
        <v>1204</v>
      </c>
    </row>
  </sheetData>
  <hyperlinks>
    <hyperlink ref="I18" r:id="rId1" xr:uid="{00000000-0004-0000-0200-000000000000}"/>
    <hyperlink ref="I19" r:id="rId2" xr:uid="{00000000-0004-0000-0200-000001000000}"/>
    <hyperlink ref="K19" r:id="rId3" xr:uid="{00000000-0004-0000-0200-000002000000}"/>
    <hyperlink ref="I25" r:id="rId4" xr:uid="{00000000-0004-0000-0200-000003000000}"/>
    <hyperlink ref="K26" r:id="rId5" xr:uid="{00000000-0004-0000-0200-000004000000}"/>
    <hyperlink ref="I29" r:id="rId6" xr:uid="{00000000-0004-0000-0200-000005000000}"/>
    <hyperlink ref="K29" r:id="rId7" xr:uid="{00000000-0004-0000-0200-000006000000}"/>
    <hyperlink ref="I35" r:id="rId8" xr:uid="{00000000-0004-0000-0200-000007000000}"/>
    <hyperlink ref="I37" r:id="rId9" xr:uid="{00000000-0004-0000-0200-000008000000}"/>
    <hyperlink ref="K37" r:id="rId10" xr:uid="{00000000-0004-0000-0200-000009000000}"/>
    <hyperlink ref="I38" r:id="rId11" xr:uid="{00000000-0004-0000-0200-00000A000000}"/>
    <hyperlink ref="I39" r:id="rId12" display="https://www.univ-rennes.fr/?utm_source=chatgpt.com" xr:uid="{00000000-0004-0000-0200-00000B000000}"/>
    <hyperlink ref="I41" r:id="rId13" xr:uid="{00000000-0004-0000-0200-00000C000000}"/>
    <hyperlink ref="I43" r:id="rId14" xr:uid="{00000000-0004-0000-0200-00000D000000}"/>
    <hyperlink ref="K43" r:id="rId15" xr:uid="{00000000-0004-0000-0200-00000E000000}"/>
    <hyperlink ref="I44" r:id="rId16" xr:uid="{00000000-0004-0000-0200-00000F000000}"/>
    <hyperlink ref="K44" r:id="rId17" xr:uid="{00000000-0004-0000-0200-000010000000}"/>
    <hyperlink ref="I45" r:id="rId18" display="https://www.centralesupelec.fr/" xr:uid="{00000000-0004-0000-0200-000011000000}"/>
    <hyperlink ref="I48" r:id="rId19" display="https://www.imt-mines-ales.fr/" xr:uid="{00000000-0004-0000-0200-000012000000}"/>
    <hyperlink ref="I49" r:id="rId20" xr:uid="{00000000-0004-0000-0200-000013000000}"/>
    <hyperlink ref="I52" r:id="rId21" xr:uid="{00000000-0004-0000-0200-000014000000}"/>
    <hyperlink ref="I54" r:id="rId22" display="https://www.eivp-paris.fr/" xr:uid="{00000000-0004-0000-0200-000015000000}"/>
    <hyperlink ref="I56" r:id="rId23" xr:uid="{00000000-0004-0000-0200-000016000000}"/>
    <hyperlink ref="I57" r:id="rId24" xr:uid="{00000000-0004-0000-0200-000017000000}"/>
    <hyperlink ref="I58" r:id="rId25" xr:uid="{00000000-0004-0000-0200-000018000000}"/>
    <hyperlink ref="K58" r:id="rId26" xr:uid="{00000000-0004-0000-0200-000019000000}"/>
    <hyperlink ref="I59" r:id="rId27" xr:uid="{00000000-0004-0000-0200-00001A000000}"/>
    <hyperlink ref="I60" r:id="rId28" xr:uid="{00000000-0004-0000-0200-00001B000000}"/>
    <hyperlink ref="I63" r:id="rId29" xr:uid="{00000000-0004-0000-0200-00001C000000}"/>
    <hyperlink ref="K63" r:id="rId30" xr:uid="{00000000-0004-0000-0200-00001D000000}"/>
    <hyperlink ref="I64" r:id="rId31" xr:uid="{00000000-0004-0000-0200-00001E000000}"/>
    <hyperlink ref="I66" r:id="rId32" xr:uid="{00000000-0004-0000-0200-00001F000000}"/>
    <hyperlink ref="K66" r:id="rId33" xr:uid="{00000000-0004-0000-0200-000020000000}"/>
    <hyperlink ref="I67" r:id="rId34" xr:uid="{00000000-0004-0000-0200-000021000000}"/>
    <hyperlink ref="I68" r:id="rId35" xr:uid="{00000000-0004-0000-0200-000022000000}"/>
    <hyperlink ref="I69" r:id="rId36" xr:uid="{00000000-0004-0000-0200-000023000000}"/>
    <hyperlink ref="I71" r:id="rId37" xr:uid="{9F4A59EC-4F71-422F-8FBF-4B78DC4B8B27}"/>
    <hyperlink ref="I72" r:id="rId38" xr:uid="{86D222D8-F255-49CF-9B0E-662B8F30BFCA}"/>
    <hyperlink ref="K72" r:id="rId39" xr:uid="{3DA125C1-DE6A-4873-8DBB-B2E3FE2D6E30}"/>
    <hyperlink ref="K36" r:id="rId40" xr:uid="{87C06C5F-822D-43FA-82C9-715CB2262286}"/>
    <hyperlink ref="I74" r:id="rId41" xr:uid="{E31D3739-23AE-421D-B2C4-4114FDD8C2E1}"/>
    <hyperlink ref="K76" r:id="rId42" display="https://external-content.duckduckgo.com/iu/?u=https%3A%2F%2Fnouveau.univ-brest.fr%2Ffaculte-medecine%2Fsites%2Ffaculte-medecine.www.univ-brest.fr%2Ffiles%2Fstyles%2Fproject_1170x550%2Fpublic%2F2022-05%2Ffacade-faculte-de-medecine.jpeg%3Fitok%3DRXVo-Q_E&amp;f=1&amp;nofb=1&amp;ipt=3d338945ed730cf012320b7654db0cbcac2662df392212fbd515129ab1eb5876&amp;ipo=images" xr:uid="{CD356220-9249-4D9F-ABEA-7369FDF933C6}"/>
    <hyperlink ref="K77" r:id="rId43" xr:uid="{DBE6FF45-4C26-4EE8-AA8B-32439FB0F188}"/>
    <hyperlink ref="I76" r:id="rId44" xr:uid="{9E786F72-048F-4235-8F77-6021C10356F5}"/>
    <hyperlink ref="I77" r:id="rId45" xr:uid="{6F8F64DB-9BB7-4659-8F7B-82C854485ED8}"/>
    <hyperlink ref="K81" r:id="rId46" xr:uid="{F1DB67C8-6998-4DAE-B554-0C9C7C90D8BB}"/>
  </hyperlinks>
  <pageMargins left="0.7" right="0.7" top="0.75" bottom="0.75" header="0.3" footer="0.3"/>
  <pageSetup paperSize="9" orientation="portrait" r:id="rId4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8"/>
  <sheetViews>
    <sheetView workbookViewId="0">
      <selection activeCell="A14" sqref="A14"/>
    </sheetView>
  </sheetViews>
  <sheetFormatPr baseColWidth="10" defaultRowHeight="15" x14ac:dyDescent="0.25"/>
  <cols>
    <col min="5" max="5" width="23.7109375" customWidth="1"/>
    <col min="6" max="6" width="24.85546875" customWidth="1"/>
  </cols>
  <sheetData>
    <row r="1" spans="1:7" x14ac:dyDescent="0.25">
      <c r="A1" s="23" t="s">
        <v>831</v>
      </c>
      <c r="B1" s="23"/>
      <c r="C1" s="23" t="s">
        <v>490</v>
      </c>
      <c r="D1" s="23"/>
      <c r="E1" s="23" t="s">
        <v>832</v>
      </c>
      <c r="F1" s="23" t="s">
        <v>833</v>
      </c>
      <c r="G1" s="1"/>
    </row>
    <row r="2" spans="1:7" x14ac:dyDescent="0.25">
      <c r="A2" s="20" t="s">
        <v>496</v>
      </c>
      <c r="B2" s="20"/>
      <c r="C2" s="20" t="s">
        <v>8</v>
      </c>
      <c r="D2" s="20"/>
      <c r="E2" s="20" t="s">
        <v>497</v>
      </c>
      <c r="F2" s="20" t="s">
        <v>497</v>
      </c>
      <c r="G2" s="1"/>
    </row>
    <row r="3" spans="1:7" x14ac:dyDescent="0.25">
      <c r="A3" s="20" t="s">
        <v>557</v>
      </c>
      <c r="B3" s="20"/>
      <c r="C3" s="20" t="s">
        <v>1</v>
      </c>
      <c r="D3" s="20"/>
      <c r="E3" s="20" t="s">
        <v>567</v>
      </c>
      <c r="F3" s="20" t="s">
        <v>557</v>
      </c>
      <c r="G3" s="1"/>
    </row>
    <row r="4" spans="1:7" x14ac:dyDescent="0.25">
      <c r="A4" s="20" t="s">
        <v>567</v>
      </c>
      <c r="B4" s="20"/>
      <c r="C4" s="20" t="s">
        <v>498</v>
      </c>
      <c r="D4" s="20"/>
      <c r="E4" s="20" t="s">
        <v>644</v>
      </c>
      <c r="F4" s="20" t="s">
        <v>644</v>
      </c>
      <c r="G4" s="1"/>
    </row>
    <row r="5" spans="1:7" x14ac:dyDescent="0.25">
      <c r="A5" s="20" t="s">
        <v>590</v>
      </c>
      <c r="B5" s="20"/>
      <c r="C5" s="20"/>
      <c r="D5" s="20"/>
      <c r="E5" s="20" t="s">
        <v>590</v>
      </c>
      <c r="F5" s="20" t="s">
        <v>590</v>
      </c>
      <c r="G5" s="1"/>
    </row>
    <row r="6" spans="1:7" x14ac:dyDescent="0.25">
      <c r="A6" s="20" t="s">
        <v>615</v>
      </c>
      <c r="B6" s="20"/>
      <c r="C6" s="20"/>
      <c r="D6" s="20"/>
      <c r="E6" s="22" t="s">
        <v>616</v>
      </c>
      <c r="F6" s="20" t="s">
        <v>616</v>
      </c>
      <c r="G6" s="1"/>
    </row>
    <row r="7" spans="1:7" x14ac:dyDescent="0.25">
      <c r="A7" s="20" t="s">
        <v>540</v>
      </c>
      <c r="B7" s="20"/>
      <c r="C7" s="20"/>
      <c r="D7" s="20"/>
      <c r="E7" s="20"/>
      <c r="F7" s="20"/>
      <c r="G7" s="1"/>
    </row>
    <row r="8" spans="1:7" x14ac:dyDescent="0.25">
      <c r="A8" s="21" t="s">
        <v>644</v>
      </c>
      <c r="B8" s="20"/>
      <c r="C8" s="20"/>
      <c r="D8" s="20"/>
      <c r="E8" s="20"/>
      <c r="F8" s="20"/>
      <c r="G8" s="1"/>
    </row>
    <row r="9" spans="1:7" x14ac:dyDescent="0.25">
      <c r="A9" s="22" t="s">
        <v>767</v>
      </c>
      <c r="B9" s="20"/>
      <c r="C9" s="20"/>
      <c r="D9" s="20"/>
      <c r="E9" s="20"/>
      <c r="F9" s="20"/>
      <c r="G9" s="1"/>
    </row>
    <row r="10" spans="1:7" x14ac:dyDescent="0.25">
      <c r="A10" s="20" t="s">
        <v>784</v>
      </c>
      <c r="B10" s="20"/>
      <c r="C10" s="20"/>
      <c r="D10" s="20"/>
      <c r="E10" s="20"/>
      <c r="F10" s="20"/>
      <c r="G10" s="1"/>
    </row>
    <row r="11" spans="1:7" x14ac:dyDescent="0.25">
      <c r="A11" s="22" t="s">
        <v>795</v>
      </c>
      <c r="B11" s="20"/>
      <c r="C11" s="20"/>
      <c r="D11" s="20"/>
      <c r="E11" s="20"/>
      <c r="F11" s="20"/>
      <c r="G11" s="1"/>
    </row>
    <row r="12" spans="1:7" x14ac:dyDescent="0.25">
      <c r="A12" s="20" t="s">
        <v>760</v>
      </c>
      <c r="B12" s="20"/>
      <c r="C12" s="20"/>
      <c r="D12" s="20"/>
      <c r="E12" s="20"/>
      <c r="F12" s="20"/>
      <c r="G12" s="1"/>
    </row>
    <row r="13" spans="1:7" x14ac:dyDescent="0.25">
      <c r="A13" s="20" t="s">
        <v>530</v>
      </c>
      <c r="B13" s="20"/>
      <c r="C13" s="20"/>
      <c r="D13" s="20"/>
      <c r="E13" s="20"/>
      <c r="F13" s="20"/>
      <c r="G13" s="1"/>
    </row>
    <row r="14" spans="1:7" ht="28.9" customHeight="1" x14ac:dyDescent="0.25">
      <c r="A14" s="27" t="s">
        <v>695</v>
      </c>
      <c r="B14" s="20"/>
      <c r="C14" s="20"/>
      <c r="D14" s="20"/>
      <c r="E14" s="20"/>
      <c r="F14" s="20"/>
      <c r="G14" s="1"/>
    </row>
    <row r="15" spans="1:7" x14ac:dyDescent="0.25">
      <c r="A15" s="20"/>
      <c r="B15" s="20"/>
      <c r="C15" s="20"/>
      <c r="D15" s="20"/>
      <c r="E15" s="20"/>
      <c r="F15" s="20"/>
      <c r="G15" s="1"/>
    </row>
    <row r="16" spans="1:7" x14ac:dyDescent="0.25">
      <c r="A16" s="20"/>
      <c r="B16" s="20"/>
      <c r="C16" s="20"/>
      <c r="D16" s="20"/>
      <c r="E16" s="20"/>
      <c r="F16" s="20"/>
      <c r="G16" s="1"/>
    </row>
    <row r="17" spans="1:7" x14ac:dyDescent="0.25">
      <c r="A17" s="20"/>
      <c r="B17" s="20"/>
      <c r="C17" s="20"/>
      <c r="D17" s="20"/>
      <c r="E17" s="20"/>
      <c r="F17" s="20"/>
      <c r="G17" s="1"/>
    </row>
    <row r="18" spans="1:7" x14ac:dyDescent="0.25">
      <c r="A18" s="1"/>
      <c r="B18" s="1"/>
      <c r="C18" s="1"/>
      <c r="D18" s="1"/>
      <c r="E18" s="1"/>
      <c r="F18" s="1"/>
      <c r="G18" s="1"/>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72"/>
  <sheetViews>
    <sheetView topLeftCell="A97" workbookViewId="0">
      <selection activeCell="E10" sqref="E10"/>
    </sheetView>
  </sheetViews>
  <sheetFormatPr baseColWidth="10" defaultRowHeight="15" x14ac:dyDescent="0.25"/>
  <sheetData>
    <row r="1" spans="1:1" x14ac:dyDescent="0.25">
      <c r="A1" s="40"/>
    </row>
    <row r="2" spans="1:1" x14ac:dyDescent="0.25">
      <c r="A2" s="41" t="s">
        <v>0</v>
      </c>
    </row>
    <row r="3" spans="1:1" x14ac:dyDescent="0.25">
      <c r="A3" s="41" t="s">
        <v>1</v>
      </c>
    </row>
    <row r="4" spans="1:1" x14ac:dyDescent="0.25">
      <c r="A4" s="41" t="s">
        <v>2</v>
      </c>
    </row>
    <row r="5" spans="1:1" x14ac:dyDescent="0.25">
      <c r="A5" s="41" t="s">
        <v>3</v>
      </c>
    </row>
    <row r="6" spans="1:1" x14ac:dyDescent="0.25">
      <c r="A6" s="41" t="s">
        <v>4</v>
      </c>
    </row>
    <row r="7" spans="1:1" x14ac:dyDescent="0.25">
      <c r="A7" s="41" t="s">
        <v>5</v>
      </c>
    </row>
    <row r="8" spans="1:1" x14ac:dyDescent="0.25">
      <c r="A8" s="41" t="s">
        <v>6</v>
      </c>
    </row>
    <row r="9" spans="1:1" x14ac:dyDescent="0.25">
      <c r="A9" s="41" t="s">
        <v>7</v>
      </c>
    </row>
    <row r="10" spans="1:1" x14ac:dyDescent="0.25">
      <c r="A10" s="41" t="s">
        <v>8</v>
      </c>
    </row>
    <row r="11" spans="1:1" x14ac:dyDescent="0.25">
      <c r="A11" s="41" t="s">
        <v>9</v>
      </c>
    </row>
    <row r="13" spans="1:1" ht="15.6" customHeight="1" x14ac:dyDescent="0.25">
      <c r="A13" s="42" t="s">
        <v>834</v>
      </c>
    </row>
    <row r="14" spans="1:1" x14ac:dyDescent="0.25">
      <c r="A14" s="40"/>
    </row>
    <row r="15" spans="1:1" x14ac:dyDescent="0.25">
      <c r="A15" s="41" t="s">
        <v>835</v>
      </c>
    </row>
    <row r="16" spans="1:1" x14ac:dyDescent="0.25">
      <c r="A16" s="41" t="s">
        <v>836</v>
      </c>
    </row>
    <row r="17" spans="1:17" x14ac:dyDescent="0.25">
      <c r="A17" s="41" t="s">
        <v>837</v>
      </c>
    </row>
    <row r="18" spans="1:17" x14ac:dyDescent="0.25">
      <c r="A18" s="41" t="s">
        <v>838</v>
      </c>
    </row>
    <row r="19" spans="1:17" x14ac:dyDescent="0.25">
      <c r="A19" s="41" t="s">
        <v>839</v>
      </c>
    </row>
    <row r="20" spans="1:17" x14ac:dyDescent="0.25">
      <c r="A20" s="41" t="s">
        <v>840</v>
      </c>
    </row>
    <row r="21" spans="1:17" x14ac:dyDescent="0.25">
      <c r="A21" s="41" t="s">
        <v>841</v>
      </c>
    </row>
    <row r="22" spans="1:17" x14ac:dyDescent="0.25">
      <c r="A22" s="41" t="s">
        <v>842</v>
      </c>
    </row>
    <row r="23" spans="1:17" x14ac:dyDescent="0.25">
      <c r="A23" s="41" t="s">
        <v>12</v>
      </c>
    </row>
    <row r="24" spans="1:17" x14ac:dyDescent="0.25">
      <c r="A24" s="41" t="s">
        <v>16</v>
      </c>
    </row>
    <row r="26" spans="1:17" x14ac:dyDescent="0.25">
      <c r="A26" t="s">
        <v>17</v>
      </c>
    </row>
    <row r="27" spans="1:17" x14ac:dyDescent="0.25">
      <c r="A27" t="s">
        <v>18</v>
      </c>
    </row>
    <row r="28" spans="1:17" x14ac:dyDescent="0.25">
      <c r="A28" s="96" t="s">
        <v>843</v>
      </c>
      <c r="B28" s="94"/>
      <c r="C28" s="94"/>
      <c r="D28" s="94"/>
      <c r="E28" s="94"/>
      <c r="F28" s="94"/>
      <c r="G28" s="94"/>
      <c r="H28" s="94"/>
      <c r="I28" s="94"/>
      <c r="J28" s="94"/>
      <c r="K28" s="94"/>
      <c r="L28" s="94"/>
      <c r="M28" s="94"/>
      <c r="N28" s="94"/>
      <c r="O28" s="94"/>
      <c r="P28" s="94"/>
      <c r="Q28" s="94"/>
    </row>
    <row r="29" spans="1:17" x14ac:dyDescent="0.25">
      <c r="A29" s="94"/>
      <c r="B29" s="94"/>
      <c r="C29" s="94"/>
      <c r="D29" s="94"/>
      <c r="E29" s="94"/>
      <c r="F29" s="94"/>
      <c r="G29" s="94"/>
      <c r="H29" s="94"/>
      <c r="I29" s="94"/>
      <c r="J29" s="94"/>
      <c r="K29" s="94"/>
      <c r="L29" s="94"/>
      <c r="M29" s="94"/>
      <c r="N29" s="94"/>
      <c r="O29" s="94"/>
      <c r="P29" s="94"/>
      <c r="Q29" s="94"/>
    </row>
    <row r="30" spans="1:17" ht="14.45" customHeight="1" x14ac:dyDescent="0.25">
      <c r="A30" s="95" t="s">
        <v>20</v>
      </c>
      <c r="B30" s="93" t="s">
        <v>21</v>
      </c>
      <c r="C30" s="94"/>
      <c r="D30" s="94"/>
      <c r="E30" s="93" t="s">
        <v>22</v>
      </c>
      <c r="F30" s="94"/>
      <c r="G30" s="94"/>
      <c r="H30" s="93" t="s">
        <v>23</v>
      </c>
      <c r="I30" s="94"/>
      <c r="J30" s="94"/>
      <c r="K30" s="93" t="s">
        <v>24</v>
      </c>
      <c r="L30" s="94"/>
      <c r="M30" s="94"/>
      <c r="N30" s="94"/>
      <c r="O30" s="94"/>
      <c r="P30" s="93" t="s">
        <v>25</v>
      </c>
      <c r="Q30" s="93" t="s">
        <v>26</v>
      </c>
    </row>
    <row r="31" spans="1:17" x14ac:dyDescent="0.25">
      <c r="A31" s="94"/>
      <c r="B31" s="43" t="s">
        <v>27</v>
      </c>
      <c r="C31" s="43" t="s">
        <v>28</v>
      </c>
      <c r="D31" s="44">
        <v>46058</v>
      </c>
      <c r="E31" s="43" t="s">
        <v>27</v>
      </c>
      <c r="F31" s="43" t="s">
        <v>28</v>
      </c>
      <c r="G31" s="44">
        <v>46058</v>
      </c>
      <c r="H31" s="43" t="s">
        <v>27</v>
      </c>
      <c r="I31" s="43" t="s">
        <v>28</v>
      </c>
      <c r="J31" s="44">
        <v>46058</v>
      </c>
      <c r="K31" s="43" t="s">
        <v>27</v>
      </c>
      <c r="L31" s="43" t="s">
        <v>28</v>
      </c>
      <c r="M31" s="44">
        <v>46058</v>
      </c>
      <c r="N31" s="43" t="s">
        <v>29</v>
      </c>
      <c r="O31" s="43" t="s">
        <v>30</v>
      </c>
      <c r="P31" s="94"/>
      <c r="Q31" s="94"/>
    </row>
    <row r="32" spans="1:17" ht="43.15" customHeight="1" x14ac:dyDescent="0.25">
      <c r="A32" s="43" t="s">
        <v>844</v>
      </c>
      <c r="B32" s="43">
        <v>376</v>
      </c>
      <c r="C32" s="45">
        <v>0.57199999999999995</v>
      </c>
      <c r="D32" s="45">
        <v>9.8000000000000004E-2</v>
      </c>
      <c r="E32" s="43">
        <v>39</v>
      </c>
      <c r="F32" s="45">
        <v>0.53800000000000003</v>
      </c>
      <c r="G32" s="45">
        <v>5.0999999999999997E-2</v>
      </c>
      <c r="H32" s="43">
        <v>28</v>
      </c>
      <c r="I32" s="45">
        <v>0.60699999999999998</v>
      </c>
      <c r="J32" s="45">
        <v>3.5999999999999997E-2</v>
      </c>
      <c r="K32" s="43">
        <v>13</v>
      </c>
      <c r="L32" s="45">
        <v>0.53800000000000003</v>
      </c>
      <c r="M32" s="45">
        <v>7.6999999999999999E-2</v>
      </c>
      <c r="N32" s="43">
        <v>11</v>
      </c>
      <c r="O32" s="43">
        <v>12</v>
      </c>
      <c r="P32" s="43"/>
      <c r="Q32" s="43">
        <v>13</v>
      </c>
    </row>
    <row r="33" spans="1:17" x14ac:dyDescent="0.25">
      <c r="A33" s="96" t="s">
        <v>644</v>
      </c>
      <c r="B33" s="94"/>
      <c r="C33" s="94"/>
      <c r="D33" s="94"/>
      <c r="E33" s="94"/>
      <c r="F33" s="94"/>
      <c r="G33" s="94"/>
      <c r="H33" s="94"/>
      <c r="I33" s="94"/>
      <c r="J33" s="94"/>
      <c r="K33" s="94"/>
      <c r="L33" s="94"/>
      <c r="M33" s="94"/>
      <c r="N33" s="94"/>
      <c r="O33" s="94"/>
      <c r="P33" s="94"/>
      <c r="Q33" s="94"/>
    </row>
    <row r="34" spans="1:17" x14ac:dyDescent="0.25">
      <c r="A34" s="94"/>
      <c r="B34" s="94"/>
      <c r="C34" s="94"/>
      <c r="D34" s="94"/>
      <c r="E34" s="94"/>
      <c r="F34" s="94"/>
      <c r="G34" s="94"/>
      <c r="H34" s="94"/>
      <c r="I34" s="94"/>
      <c r="J34" s="94"/>
      <c r="K34" s="94"/>
      <c r="L34" s="94"/>
      <c r="M34" s="94"/>
      <c r="N34" s="94"/>
      <c r="O34" s="94"/>
      <c r="P34" s="94"/>
      <c r="Q34" s="94"/>
    </row>
    <row r="35" spans="1:17" ht="14.45" customHeight="1" x14ac:dyDescent="0.25">
      <c r="A35" s="95" t="s">
        <v>20</v>
      </c>
      <c r="B35" s="93" t="s">
        <v>21</v>
      </c>
      <c r="C35" s="94"/>
      <c r="D35" s="94"/>
      <c r="E35" s="93" t="s">
        <v>22</v>
      </c>
      <c r="F35" s="94"/>
      <c r="G35" s="94"/>
      <c r="H35" s="93" t="s">
        <v>23</v>
      </c>
      <c r="I35" s="94"/>
      <c r="J35" s="94"/>
      <c r="K35" s="93" t="s">
        <v>24</v>
      </c>
      <c r="L35" s="94"/>
      <c r="M35" s="94"/>
      <c r="N35" s="94"/>
      <c r="O35" s="94"/>
      <c r="P35" s="93" t="s">
        <v>25</v>
      </c>
      <c r="Q35" s="93" t="s">
        <v>26</v>
      </c>
    </row>
    <row r="36" spans="1:17" x14ac:dyDescent="0.25">
      <c r="A36" s="94"/>
      <c r="B36" s="43" t="s">
        <v>27</v>
      </c>
      <c r="C36" s="43" t="s">
        <v>28</v>
      </c>
      <c r="D36" s="44">
        <v>46058</v>
      </c>
      <c r="E36" s="43" t="s">
        <v>27</v>
      </c>
      <c r="F36" s="43" t="s">
        <v>28</v>
      </c>
      <c r="G36" s="44">
        <v>46058</v>
      </c>
      <c r="H36" s="43" t="s">
        <v>27</v>
      </c>
      <c r="I36" s="43" t="s">
        <v>28</v>
      </c>
      <c r="J36" s="44">
        <v>46058</v>
      </c>
      <c r="K36" s="43" t="s">
        <v>27</v>
      </c>
      <c r="L36" s="43" t="s">
        <v>28</v>
      </c>
      <c r="M36" s="44">
        <v>46058</v>
      </c>
      <c r="N36" s="43" t="s">
        <v>29</v>
      </c>
      <c r="O36" s="43" t="s">
        <v>30</v>
      </c>
      <c r="P36" s="94"/>
      <c r="Q36" s="94"/>
    </row>
    <row r="37" spans="1:17" x14ac:dyDescent="0.25">
      <c r="A37" s="43" t="s">
        <v>689</v>
      </c>
      <c r="B37" s="43">
        <v>910</v>
      </c>
      <c r="C37" s="45">
        <v>0.55600000000000005</v>
      </c>
      <c r="D37" s="45">
        <v>0.11899999999999999</v>
      </c>
      <c r="E37" s="43">
        <v>81</v>
      </c>
      <c r="F37" s="45">
        <v>0.38300000000000001</v>
      </c>
      <c r="G37" s="45">
        <v>0.123</v>
      </c>
      <c r="H37" s="43">
        <v>41</v>
      </c>
      <c r="I37" s="45">
        <v>0.39</v>
      </c>
      <c r="J37" s="45">
        <v>0.122</v>
      </c>
      <c r="K37" s="43">
        <v>21</v>
      </c>
      <c r="L37" s="45">
        <v>0.33300000000000002</v>
      </c>
      <c r="M37" s="45">
        <v>9.5000000000000001E-2</v>
      </c>
      <c r="N37" s="43">
        <v>15</v>
      </c>
      <c r="O37" s="43">
        <v>14</v>
      </c>
      <c r="P37" s="43"/>
      <c r="Q37" s="43">
        <v>21</v>
      </c>
    </row>
    <row r="38" spans="1:17" ht="30" x14ac:dyDescent="0.25">
      <c r="A38" s="43" t="s">
        <v>845</v>
      </c>
      <c r="B38" s="43">
        <v>919</v>
      </c>
      <c r="C38" s="45">
        <v>0.55500000000000005</v>
      </c>
      <c r="D38" s="45">
        <v>0.11600000000000001</v>
      </c>
      <c r="E38" s="43">
        <v>173</v>
      </c>
      <c r="F38" s="45">
        <v>0.434</v>
      </c>
      <c r="G38" s="45">
        <v>0.13900000000000001</v>
      </c>
      <c r="H38" s="43">
        <v>113</v>
      </c>
      <c r="I38" s="45">
        <v>0.434</v>
      </c>
      <c r="J38" s="45">
        <v>0.13300000000000001</v>
      </c>
      <c r="K38" s="43">
        <v>34</v>
      </c>
      <c r="L38" s="45">
        <v>0.47099999999999997</v>
      </c>
      <c r="M38" s="45">
        <v>0.14699999999999999</v>
      </c>
      <c r="N38" s="43">
        <v>61</v>
      </c>
      <c r="O38" s="43">
        <v>58</v>
      </c>
      <c r="P38" s="43"/>
      <c r="Q38" s="43">
        <v>34</v>
      </c>
    </row>
    <row r="39" spans="1:17" ht="28.9" customHeight="1" x14ac:dyDescent="0.25">
      <c r="A39" s="43" t="s">
        <v>68</v>
      </c>
      <c r="B39" s="43">
        <v>871</v>
      </c>
      <c r="C39" s="45">
        <v>0.55500000000000005</v>
      </c>
      <c r="D39" s="45">
        <v>0.11899999999999999</v>
      </c>
      <c r="E39" s="43">
        <v>160</v>
      </c>
      <c r="F39" s="45">
        <v>0.45600000000000002</v>
      </c>
      <c r="G39" s="45">
        <v>0.13800000000000001</v>
      </c>
      <c r="H39" s="43">
        <v>90</v>
      </c>
      <c r="I39" s="45">
        <v>0.433</v>
      </c>
      <c r="J39" s="45">
        <v>0.122</v>
      </c>
      <c r="K39" s="43">
        <v>14</v>
      </c>
      <c r="L39" s="45">
        <v>0.5</v>
      </c>
      <c r="M39" s="45">
        <v>0.14299999999999999</v>
      </c>
      <c r="N39" s="43">
        <v>46</v>
      </c>
      <c r="O39" s="43">
        <v>43</v>
      </c>
      <c r="P39" s="43"/>
      <c r="Q39" s="43">
        <v>14</v>
      </c>
    </row>
    <row r="40" spans="1:17" ht="57.6" customHeight="1" x14ac:dyDescent="0.25">
      <c r="A40" s="43" t="s">
        <v>846</v>
      </c>
      <c r="B40" s="43"/>
      <c r="C40" s="43"/>
      <c r="D40" s="43"/>
      <c r="E40" s="43"/>
      <c r="F40" s="43"/>
      <c r="G40" s="43"/>
      <c r="H40" s="43"/>
      <c r="I40" s="43"/>
      <c r="J40" s="43"/>
      <c r="K40" s="43">
        <v>1</v>
      </c>
      <c r="L40" s="45">
        <v>0</v>
      </c>
      <c r="M40" s="45">
        <v>0</v>
      </c>
      <c r="N40" s="43">
        <v>51</v>
      </c>
      <c r="O40" s="43">
        <v>51</v>
      </c>
      <c r="P40" s="43"/>
      <c r="Q40" s="43">
        <v>4</v>
      </c>
    </row>
    <row r="41" spans="1:17" x14ac:dyDescent="0.25">
      <c r="A41" s="43" t="s">
        <v>847</v>
      </c>
      <c r="B41" s="43"/>
      <c r="C41" s="43"/>
      <c r="D41" s="43"/>
      <c r="E41" s="43"/>
      <c r="F41" s="43"/>
      <c r="G41" s="43"/>
      <c r="H41" s="43"/>
      <c r="I41" s="43"/>
      <c r="J41" s="43"/>
      <c r="K41" s="43">
        <v>5</v>
      </c>
      <c r="L41" s="45">
        <v>0.4</v>
      </c>
      <c r="M41" s="45">
        <v>0</v>
      </c>
      <c r="N41" s="43">
        <v>23</v>
      </c>
      <c r="O41" s="43">
        <v>22</v>
      </c>
      <c r="P41" s="43"/>
      <c r="Q41" s="43">
        <v>5</v>
      </c>
    </row>
    <row r="42" spans="1:17" ht="43.15" customHeight="1" x14ac:dyDescent="0.25">
      <c r="A42" s="46" t="s">
        <v>848</v>
      </c>
      <c r="B42" s="46">
        <v>376</v>
      </c>
      <c r="C42" s="47">
        <v>0.52100000000000002</v>
      </c>
      <c r="D42" s="47">
        <v>0.11700000000000001</v>
      </c>
      <c r="E42" s="46">
        <v>65</v>
      </c>
      <c r="F42" s="47">
        <v>0.38500000000000001</v>
      </c>
      <c r="G42" s="47">
        <v>0.108</v>
      </c>
      <c r="H42" s="46">
        <v>56</v>
      </c>
      <c r="I42" s="47">
        <v>0.33900000000000002</v>
      </c>
      <c r="J42" s="47">
        <v>8.8999999999999996E-2</v>
      </c>
      <c r="K42" s="46">
        <v>6</v>
      </c>
      <c r="L42" s="46"/>
      <c r="M42" s="46"/>
      <c r="N42" s="43"/>
      <c r="O42" s="43"/>
      <c r="P42" s="43"/>
      <c r="Q42" s="46">
        <v>9</v>
      </c>
    </row>
    <row r="43" spans="1:17" ht="30" x14ac:dyDescent="0.25">
      <c r="A43" s="43" t="s">
        <v>849</v>
      </c>
      <c r="B43" s="43"/>
      <c r="C43" s="43"/>
      <c r="D43" s="43"/>
      <c r="E43" s="43"/>
      <c r="F43" s="43"/>
      <c r="G43" s="43"/>
      <c r="H43" s="43"/>
      <c r="I43" s="43"/>
      <c r="J43" s="43"/>
      <c r="K43" s="43">
        <v>0</v>
      </c>
      <c r="L43" s="45">
        <v>0</v>
      </c>
      <c r="M43" s="45">
        <v>0</v>
      </c>
      <c r="N43" s="43">
        <v>0</v>
      </c>
      <c r="O43" s="43">
        <v>0</v>
      </c>
      <c r="P43" s="43"/>
      <c r="Q43" s="43">
        <v>5</v>
      </c>
    </row>
    <row r="44" spans="1:17" ht="28.9" customHeight="1" x14ac:dyDescent="0.25">
      <c r="A44" s="43" t="s">
        <v>773</v>
      </c>
      <c r="B44" s="43"/>
      <c r="C44" s="43"/>
      <c r="D44" s="43"/>
      <c r="E44" s="43"/>
      <c r="F44" s="43"/>
      <c r="G44" s="43"/>
      <c r="H44" s="43"/>
      <c r="I44" s="43"/>
      <c r="J44" s="43"/>
      <c r="K44" s="43">
        <v>1</v>
      </c>
      <c r="L44" s="45">
        <v>1</v>
      </c>
      <c r="M44" s="45">
        <v>0</v>
      </c>
      <c r="N44" s="43">
        <v>52</v>
      </c>
      <c r="O44" s="43">
        <v>52</v>
      </c>
      <c r="P44" s="43"/>
      <c r="Q44" s="43">
        <v>5</v>
      </c>
    </row>
    <row r="45" spans="1:17" ht="28.9" customHeight="1" x14ac:dyDescent="0.25">
      <c r="A45" s="43" t="s">
        <v>766</v>
      </c>
      <c r="B45" s="43"/>
      <c r="C45" s="43"/>
      <c r="D45" s="43"/>
      <c r="E45" s="43"/>
      <c r="F45" s="43"/>
      <c r="G45" s="43"/>
      <c r="H45" s="43"/>
      <c r="I45" s="43"/>
      <c r="J45" s="43"/>
      <c r="K45" s="43">
        <v>2</v>
      </c>
      <c r="L45" s="45">
        <v>0</v>
      </c>
      <c r="M45" s="45">
        <v>0.5</v>
      </c>
      <c r="N45" s="43">
        <v>44</v>
      </c>
      <c r="O45" s="43">
        <v>44</v>
      </c>
      <c r="P45" s="43"/>
      <c r="Q45" s="43">
        <v>5</v>
      </c>
    </row>
    <row r="46" spans="1:17" ht="43.15" customHeight="1" x14ac:dyDescent="0.25">
      <c r="A46" s="43" t="s">
        <v>778</v>
      </c>
      <c r="B46" s="43"/>
      <c r="C46" s="43"/>
      <c r="D46" s="43"/>
      <c r="E46" s="43"/>
      <c r="F46" s="43"/>
      <c r="G46" s="43"/>
      <c r="H46" s="43"/>
      <c r="I46" s="43"/>
      <c r="J46" s="43"/>
      <c r="K46" s="43">
        <v>0</v>
      </c>
      <c r="L46" s="45">
        <v>0</v>
      </c>
      <c r="M46" s="45">
        <v>0</v>
      </c>
      <c r="N46" s="43">
        <v>0</v>
      </c>
      <c r="O46" s="43">
        <v>0</v>
      </c>
      <c r="P46" s="43"/>
      <c r="Q46" s="43">
        <v>5</v>
      </c>
    </row>
    <row r="47" spans="1:17" ht="57.6" customHeight="1" x14ac:dyDescent="0.25">
      <c r="A47" s="46" t="s">
        <v>850</v>
      </c>
      <c r="B47" s="46">
        <v>373</v>
      </c>
      <c r="C47" s="47">
        <v>0.52500000000000002</v>
      </c>
      <c r="D47" s="47">
        <v>0.113</v>
      </c>
      <c r="E47" s="46">
        <v>65</v>
      </c>
      <c r="F47" s="47">
        <v>0.43099999999999999</v>
      </c>
      <c r="G47" s="47">
        <v>0.123</v>
      </c>
      <c r="H47" s="46">
        <v>54</v>
      </c>
      <c r="I47" s="47">
        <v>0.40699999999999997</v>
      </c>
      <c r="J47" s="47">
        <v>0.111</v>
      </c>
      <c r="K47" s="46">
        <v>3</v>
      </c>
      <c r="L47" s="46"/>
      <c r="M47" s="46"/>
      <c r="N47" s="43"/>
      <c r="O47" s="43"/>
      <c r="P47" s="43"/>
      <c r="Q47" s="46">
        <v>20</v>
      </c>
    </row>
    <row r="48" spans="1:17" x14ac:dyDescent="0.25">
      <c r="A48" s="96" t="s">
        <v>851</v>
      </c>
      <c r="B48" s="94"/>
      <c r="C48" s="94"/>
      <c r="D48" s="94"/>
      <c r="E48" s="94"/>
      <c r="F48" s="94"/>
      <c r="G48" s="94"/>
      <c r="H48" s="94"/>
      <c r="I48" s="94"/>
      <c r="J48" s="94"/>
      <c r="K48" s="94"/>
      <c r="L48" s="94"/>
      <c r="M48" s="94"/>
      <c r="N48" s="94"/>
      <c r="O48" s="94"/>
      <c r="P48" s="94"/>
      <c r="Q48" s="94"/>
    </row>
    <row r="49" spans="1:17" x14ac:dyDescent="0.25">
      <c r="A49" s="94"/>
      <c r="B49" s="94"/>
      <c r="C49" s="94"/>
      <c r="D49" s="94"/>
      <c r="E49" s="94"/>
      <c r="F49" s="94"/>
      <c r="G49" s="94"/>
      <c r="H49" s="94"/>
      <c r="I49" s="94"/>
      <c r="J49" s="94"/>
      <c r="K49" s="94"/>
      <c r="L49" s="94"/>
      <c r="M49" s="94"/>
      <c r="N49" s="94"/>
      <c r="O49" s="94"/>
      <c r="P49" s="94"/>
      <c r="Q49" s="94"/>
    </row>
    <row r="50" spans="1:17" ht="14.45" customHeight="1" x14ac:dyDescent="0.25">
      <c r="A50" s="95" t="s">
        <v>20</v>
      </c>
      <c r="B50" s="93" t="s">
        <v>21</v>
      </c>
      <c r="C50" s="94"/>
      <c r="D50" s="94"/>
      <c r="E50" s="93" t="s">
        <v>22</v>
      </c>
      <c r="F50" s="94"/>
      <c r="G50" s="94"/>
      <c r="H50" s="93" t="s">
        <v>23</v>
      </c>
      <c r="I50" s="94"/>
      <c r="J50" s="94"/>
      <c r="K50" s="93" t="s">
        <v>24</v>
      </c>
      <c r="L50" s="94"/>
      <c r="M50" s="94"/>
      <c r="N50" s="94"/>
      <c r="O50" s="94"/>
      <c r="P50" s="93" t="s">
        <v>25</v>
      </c>
      <c r="Q50" s="93" t="s">
        <v>26</v>
      </c>
    </row>
    <row r="51" spans="1:17" x14ac:dyDescent="0.25">
      <c r="A51" s="94"/>
      <c r="B51" s="43" t="s">
        <v>27</v>
      </c>
      <c r="C51" s="43" t="s">
        <v>28</v>
      </c>
      <c r="D51" s="44">
        <v>46058</v>
      </c>
      <c r="E51" s="43" t="s">
        <v>27</v>
      </c>
      <c r="F51" s="43" t="s">
        <v>28</v>
      </c>
      <c r="G51" s="44">
        <v>46058</v>
      </c>
      <c r="H51" s="43" t="s">
        <v>27</v>
      </c>
      <c r="I51" s="43" t="s">
        <v>28</v>
      </c>
      <c r="J51" s="44">
        <v>46058</v>
      </c>
      <c r="K51" s="43" t="s">
        <v>27</v>
      </c>
      <c r="L51" s="43" t="s">
        <v>28</v>
      </c>
      <c r="M51" s="44">
        <v>46058</v>
      </c>
      <c r="N51" s="43" t="s">
        <v>29</v>
      </c>
      <c r="O51" s="43" t="s">
        <v>30</v>
      </c>
      <c r="P51" s="94"/>
      <c r="Q51" s="94"/>
    </row>
    <row r="52" spans="1:17" ht="57.6" customHeight="1" x14ac:dyDescent="0.25">
      <c r="A52" s="43" t="s">
        <v>852</v>
      </c>
      <c r="B52" s="43">
        <v>551</v>
      </c>
      <c r="C52" s="45">
        <v>0.58599999999999997</v>
      </c>
      <c r="D52" s="45">
        <v>0.10299999999999999</v>
      </c>
      <c r="E52" s="43">
        <v>303</v>
      </c>
      <c r="F52" s="45">
        <v>0.58699999999999997</v>
      </c>
      <c r="G52" s="45">
        <v>0.11899999999999999</v>
      </c>
      <c r="H52" s="43">
        <v>148</v>
      </c>
      <c r="I52" s="45">
        <v>0.60799999999999998</v>
      </c>
      <c r="J52" s="45">
        <v>0.122</v>
      </c>
      <c r="K52" s="43">
        <v>15</v>
      </c>
      <c r="L52" s="45">
        <v>0.53300000000000003</v>
      </c>
      <c r="M52" s="45">
        <v>0.13300000000000001</v>
      </c>
      <c r="N52" s="43">
        <v>50</v>
      </c>
      <c r="O52" s="43">
        <v>50</v>
      </c>
      <c r="P52" s="43"/>
      <c r="Q52" s="43">
        <v>15</v>
      </c>
    </row>
    <row r="53" spans="1:17" x14ac:dyDescent="0.25">
      <c r="A53" s="96" t="s">
        <v>853</v>
      </c>
      <c r="B53" s="94"/>
      <c r="C53" s="94"/>
      <c r="D53" s="94"/>
      <c r="E53" s="94"/>
      <c r="F53" s="94"/>
      <c r="G53" s="94"/>
      <c r="H53" s="94"/>
      <c r="I53" s="94"/>
      <c r="J53" s="94"/>
      <c r="K53" s="94"/>
      <c r="L53" s="94"/>
      <c r="M53" s="94"/>
      <c r="N53" s="94"/>
      <c r="O53" s="94"/>
      <c r="P53" s="94"/>
      <c r="Q53" s="94"/>
    </row>
    <row r="54" spans="1:17" x14ac:dyDescent="0.25">
      <c r="A54" s="94"/>
      <c r="B54" s="94"/>
      <c r="C54" s="94"/>
      <c r="D54" s="94"/>
      <c r="E54" s="94"/>
      <c r="F54" s="94"/>
      <c r="G54" s="94"/>
      <c r="H54" s="94"/>
      <c r="I54" s="94"/>
      <c r="J54" s="94"/>
      <c r="K54" s="94"/>
      <c r="L54" s="94"/>
      <c r="M54" s="94"/>
      <c r="N54" s="94"/>
      <c r="O54" s="94"/>
      <c r="P54" s="94"/>
      <c r="Q54" s="94"/>
    </row>
    <row r="55" spans="1:17" ht="14.45" customHeight="1" x14ac:dyDescent="0.25">
      <c r="A55" s="95" t="s">
        <v>20</v>
      </c>
      <c r="B55" s="93" t="s">
        <v>21</v>
      </c>
      <c r="C55" s="94"/>
      <c r="D55" s="94"/>
      <c r="E55" s="93" t="s">
        <v>22</v>
      </c>
      <c r="F55" s="94"/>
      <c r="G55" s="94"/>
      <c r="H55" s="93" t="s">
        <v>23</v>
      </c>
      <c r="I55" s="94"/>
      <c r="J55" s="94"/>
      <c r="K55" s="93" t="s">
        <v>24</v>
      </c>
      <c r="L55" s="94"/>
      <c r="M55" s="94"/>
      <c r="N55" s="94"/>
      <c r="O55" s="94"/>
      <c r="P55" s="93" t="s">
        <v>25</v>
      </c>
      <c r="Q55" s="93" t="s">
        <v>26</v>
      </c>
    </row>
    <row r="56" spans="1:17" x14ac:dyDescent="0.25">
      <c r="A56" s="94"/>
      <c r="B56" s="43" t="s">
        <v>27</v>
      </c>
      <c r="C56" s="43" t="s">
        <v>28</v>
      </c>
      <c r="D56" s="44">
        <v>46058</v>
      </c>
      <c r="E56" s="43" t="s">
        <v>27</v>
      </c>
      <c r="F56" s="43" t="s">
        <v>28</v>
      </c>
      <c r="G56" s="44">
        <v>46058</v>
      </c>
      <c r="H56" s="43" t="s">
        <v>27</v>
      </c>
      <c r="I56" s="43" t="s">
        <v>28</v>
      </c>
      <c r="J56" s="44">
        <v>46058</v>
      </c>
      <c r="K56" s="43" t="s">
        <v>27</v>
      </c>
      <c r="L56" s="43" t="s">
        <v>28</v>
      </c>
      <c r="M56" s="44">
        <v>46058</v>
      </c>
      <c r="N56" s="43" t="s">
        <v>29</v>
      </c>
      <c r="O56" s="43" t="s">
        <v>30</v>
      </c>
      <c r="P56" s="94"/>
      <c r="Q56" s="94"/>
    </row>
    <row r="57" spans="1:17" ht="28.9" customHeight="1" x14ac:dyDescent="0.25">
      <c r="A57" s="43" t="s">
        <v>34</v>
      </c>
      <c r="B57" s="43"/>
      <c r="C57" s="43"/>
      <c r="D57" s="43"/>
      <c r="E57" s="43"/>
      <c r="F57" s="43"/>
      <c r="G57" s="43"/>
      <c r="H57" s="43"/>
      <c r="I57" s="43"/>
      <c r="J57" s="43"/>
      <c r="K57" s="43">
        <v>274</v>
      </c>
      <c r="L57" s="45">
        <v>0.58399999999999996</v>
      </c>
      <c r="M57" s="45">
        <v>0.161</v>
      </c>
      <c r="N57" s="43">
        <v>457</v>
      </c>
      <c r="O57" s="43">
        <v>431</v>
      </c>
      <c r="P57" s="43"/>
      <c r="Q57" s="43">
        <v>272</v>
      </c>
    </row>
    <row r="58" spans="1:17" ht="57.6" customHeight="1" x14ac:dyDescent="0.25">
      <c r="A58" s="43" t="s">
        <v>854</v>
      </c>
      <c r="B58" s="43"/>
      <c r="C58" s="43"/>
      <c r="D58" s="43"/>
      <c r="E58" s="43"/>
      <c r="F58" s="43"/>
      <c r="G58" s="43"/>
      <c r="H58" s="43"/>
      <c r="I58" s="43"/>
      <c r="J58" s="43"/>
      <c r="K58" s="43">
        <v>1</v>
      </c>
      <c r="L58" s="45">
        <v>1</v>
      </c>
      <c r="M58" s="45">
        <v>0</v>
      </c>
      <c r="N58" s="43">
        <v>1984</v>
      </c>
      <c r="O58" s="43">
        <v>1984</v>
      </c>
      <c r="P58" s="43"/>
      <c r="Q58" s="43">
        <v>5</v>
      </c>
    </row>
    <row r="59" spans="1:17" ht="43.15" customHeight="1" x14ac:dyDescent="0.25">
      <c r="A59" s="43" t="s">
        <v>37</v>
      </c>
      <c r="B59" s="43"/>
      <c r="C59" s="43"/>
      <c r="D59" s="43"/>
      <c r="E59" s="43"/>
      <c r="F59" s="43"/>
      <c r="G59" s="43"/>
      <c r="H59" s="43"/>
      <c r="I59" s="43"/>
      <c r="J59" s="43"/>
      <c r="K59" s="43">
        <v>88</v>
      </c>
      <c r="L59" s="45">
        <v>0.72699999999999998</v>
      </c>
      <c r="M59" s="45">
        <v>0.17</v>
      </c>
      <c r="N59" s="43">
        <v>1500</v>
      </c>
      <c r="O59" s="43">
        <v>1433</v>
      </c>
      <c r="P59" s="43"/>
      <c r="Q59" s="43">
        <v>90</v>
      </c>
    </row>
    <row r="60" spans="1:17" ht="43.15" customHeight="1" x14ac:dyDescent="0.25">
      <c r="A60" s="43" t="s">
        <v>40</v>
      </c>
      <c r="B60" s="43"/>
      <c r="C60" s="43"/>
      <c r="D60" s="43"/>
      <c r="E60" s="43"/>
      <c r="F60" s="43"/>
      <c r="G60" s="43"/>
      <c r="H60" s="43"/>
      <c r="I60" s="43"/>
      <c r="J60" s="43"/>
      <c r="K60" s="43">
        <v>88</v>
      </c>
      <c r="L60" s="45">
        <v>0.64800000000000002</v>
      </c>
      <c r="M60" s="45">
        <v>0.14799999999999999</v>
      </c>
      <c r="N60" s="43">
        <v>1418</v>
      </c>
      <c r="O60" s="43">
        <v>1358</v>
      </c>
      <c r="P60" s="43"/>
      <c r="Q60" s="43">
        <v>92</v>
      </c>
    </row>
    <row r="61" spans="1:17" ht="28.9" customHeight="1" x14ac:dyDescent="0.25">
      <c r="A61" s="43" t="s">
        <v>39</v>
      </c>
      <c r="B61" s="43"/>
      <c r="C61" s="43"/>
      <c r="D61" s="43"/>
      <c r="E61" s="43"/>
      <c r="F61" s="43"/>
      <c r="G61" s="43"/>
      <c r="H61" s="43"/>
      <c r="I61" s="43"/>
      <c r="J61" s="43"/>
      <c r="K61" s="43">
        <v>89</v>
      </c>
      <c r="L61" s="45">
        <v>0.70799999999999996</v>
      </c>
      <c r="M61" s="45">
        <v>0.13500000000000001</v>
      </c>
      <c r="N61" s="43">
        <v>1773</v>
      </c>
      <c r="O61" s="43">
        <v>1704</v>
      </c>
      <c r="P61" s="43"/>
      <c r="Q61" s="43">
        <v>90</v>
      </c>
    </row>
    <row r="62" spans="1:17" ht="100.9" customHeight="1" x14ac:dyDescent="0.25">
      <c r="A62" s="43" t="s">
        <v>36</v>
      </c>
      <c r="B62" s="43"/>
      <c r="C62" s="43"/>
      <c r="D62" s="43"/>
      <c r="E62" s="43"/>
      <c r="F62" s="43"/>
      <c r="G62" s="43"/>
      <c r="H62" s="43"/>
      <c r="I62" s="43"/>
      <c r="J62" s="43"/>
      <c r="K62" s="43">
        <v>30</v>
      </c>
      <c r="L62" s="45">
        <v>0.7</v>
      </c>
      <c r="M62" s="45">
        <v>0.26700000000000002</v>
      </c>
      <c r="N62" s="43">
        <v>1544</v>
      </c>
      <c r="O62" s="43">
        <v>1460</v>
      </c>
      <c r="P62" s="43"/>
      <c r="Q62" s="43">
        <v>23</v>
      </c>
    </row>
    <row r="63" spans="1:17" ht="144" customHeight="1" x14ac:dyDescent="0.25">
      <c r="A63" s="43" t="s">
        <v>35</v>
      </c>
      <c r="B63" s="43"/>
      <c r="C63" s="43"/>
      <c r="D63" s="43"/>
      <c r="E63" s="43"/>
      <c r="F63" s="43"/>
      <c r="G63" s="43"/>
      <c r="H63" s="43"/>
      <c r="I63" s="43"/>
      <c r="J63" s="43"/>
      <c r="K63" s="43">
        <v>28</v>
      </c>
      <c r="L63" s="45">
        <v>0.64300000000000002</v>
      </c>
      <c r="M63" s="45">
        <v>7.0999999999999994E-2</v>
      </c>
      <c r="N63" s="43">
        <v>2006</v>
      </c>
      <c r="O63" s="43">
        <v>1929</v>
      </c>
      <c r="P63" s="43"/>
      <c r="Q63" s="43">
        <v>42</v>
      </c>
    </row>
    <row r="64" spans="1:17" ht="115.15" customHeight="1" x14ac:dyDescent="0.25">
      <c r="A64" s="43" t="s">
        <v>44</v>
      </c>
      <c r="B64" s="43"/>
      <c r="C64" s="43"/>
      <c r="D64" s="43"/>
      <c r="E64" s="43"/>
      <c r="F64" s="43"/>
      <c r="G64" s="43"/>
      <c r="H64" s="43"/>
      <c r="I64" s="43"/>
      <c r="J64" s="43"/>
      <c r="K64" s="43">
        <v>40</v>
      </c>
      <c r="L64" s="45">
        <v>0.57499999999999996</v>
      </c>
      <c r="M64" s="45">
        <v>0.1</v>
      </c>
      <c r="N64" s="43">
        <v>1858</v>
      </c>
      <c r="O64" s="43">
        <v>1736</v>
      </c>
      <c r="P64" s="43"/>
      <c r="Q64" s="43">
        <v>41</v>
      </c>
    </row>
    <row r="65" spans="1:17" ht="100.9" customHeight="1" x14ac:dyDescent="0.25">
      <c r="A65" s="43" t="s">
        <v>41</v>
      </c>
      <c r="B65" s="43"/>
      <c r="C65" s="43"/>
      <c r="D65" s="43"/>
      <c r="E65" s="43"/>
      <c r="F65" s="43"/>
      <c r="G65" s="43"/>
      <c r="H65" s="43"/>
      <c r="I65" s="43"/>
      <c r="J65" s="43"/>
      <c r="K65" s="43">
        <v>113</v>
      </c>
      <c r="L65" s="45">
        <v>0.71699999999999997</v>
      </c>
      <c r="M65" s="45">
        <v>0.186</v>
      </c>
      <c r="N65" s="43">
        <v>891</v>
      </c>
      <c r="O65" s="43">
        <v>876</v>
      </c>
      <c r="P65" s="43"/>
      <c r="Q65" s="43">
        <v>113</v>
      </c>
    </row>
    <row r="66" spans="1:17" ht="144" customHeight="1" x14ac:dyDescent="0.25">
      <c r="A66" s="43" t="s">
        <v>32</v>
      </c>
      <c r="B66" s="43"/>
      <c r="C66" s="43"/>
      <c r="D66" s="43"/>
      <c r="E66" s="43"/>
      <c r="F66" s="43"/>
      <c r="G66" s="43"/>
      <c r="H66" s="43"/>
      <c r="I66" s="43"/>
      <c r="J66" s="43"/>
      <c r="K66" s="43">
        <v>11</v>
      </c>
      <c r="L66" s="45">
        <v>0.72699999999999998</v>
      </c>
      <c r="M66" s="45">
        <v>9.0999999999999998E-2</v>
      </c>
      <c r="N66" s="43">
        <v>1009</v>
      </c>
      <c r="O66" s="43">
        <v>934</v>
      </c>
      <c r="P66" s="43"/>
      <c r="Q66" s="43">
        <v>11</v>
      </c>
    </row>
    <row r="67" spans="1:17" ht="115.15" customHeight="1" x14ac:dyDescent="0.25">
      <c r="A67" s="43" t="s">
        <v>31</v>
      </c>
      <c r="B67" s="43"/>
      <c r="C67" s="43"/>
      <c r="D67" s="43"/>
      <c r="E67" s="43"/>
      <c r="F67" s="43"/>
      <c r="G67" s="43"/>
      <c r="H67" s="43"/>
      <c r="I67" s="43"/>
      <c r="J67" s="43"/>
      <c r="K67" s="43">
        <v>137</v>
      </c>
      <c r="L67" s="45">
        <v>0.63500000000000001</v>
      </c>
      <c r="M67" s="45">
        <v>0.16800000000000001</v>
      </c>
      <c r="N67" s="43">
        <v>1142</v>
      </c>
      <c r="O67" s="43">
        <v>1093</v>
      </c>
      <c r="P67" s="43"/>
      <c r="Q67" s="43">
        <v>134</v>
      </c>
    </row>
    <row r="68" spans="1:17" ht="129.6" customHeight="1" x14ac:dyDescent="0.25">
      <c r="A68" s="43" t="s">
        <v>33</v>
      </c>
      <c r="B68" s="43"/>
      <c r="C68" s="43"/>
      <c r="D68" s="43"/>
      <c r="E68" s="43"/>
      <c r="F68" s="43"/>
      <c r="G68" s="43"/>
      <c r="H68" s="43"/>
      <c r="I68" s="43"/>
      <c r="J68" s="43"/>
      <c r="K68" s="43">
        <v>43</v>
      </c>
      <c r="L68" s="45">
        <v>0.74399999999999999</v>
      </c>
      <c r="M68" s="45">
        <v>0.20899999999999999</v>
      </c>
      <c r="N68" s="43">
        <v>1886</v>
      </c>
      <c r="O68" s="43">
        <v>1777</v>
      </c>
      <c r="P68" s="43"/>
      <c r="Q68" s="43">
        <v>56</v>
      </c>
    </row>
    <row r="69" spans="1:17" ht="72" customHeight="1" x14ac:dyDescent="0.25">
      <c r="A69" s="43" t="s">
        <v>42</v>
      </c>
      <c r="B69" s="43"/>
      <c r="C69" s="43"/>
      <c r="D69" s="43"/>
      <c r="E69" s="43"/>
      <c r="F69" s="43"/>
      <c r="G69" s="43"/>
      <c r="H69" s="43"/>
      <c r="I69" s="43"/>
      <c r="J69" s="43"/>
      <c r="K69" s="43">
        <v>23</v>
      </c>
      <c r="L69" s="45">
        <v>0.73899999999999999</v>
      </c>
      <c r="M69" s="45">
        <v>0.13</v>
      </c>
      <c r="N69" s="43">
        <v>1998</v>
      </c>
      <c r="O69" s="43">
        <v>1743</v>
      </c>
      <c r="P69" s="43"/>
      <c r="Q69" s="43">
        <v>45</v>
      </c>
    </row>
    <row r="70" spans="1:17" ht="72" customHeight="1" x14ac:dyDescent="0.25">
      <c r="A70" s="43" t="s">
        <v>43</v>
      </c>
      <c r="B70" s="43"/>
      <c r="C70" s="43"/>
      <c r="D70" s="43"/>
      <c r="E70" s="43"/>
      <c r="F70" s="43"/>
      <c r="G70" s="43"/>
      <c r="H70" s="43"/>
      <c r="I70" s="43"/>
      <c r="J70" s="43"/>
      <c r="K70" s="43">
        <v>53</v>
      </c>
      <c r="L70" s="45">
        <v>0.77400000000000002</v>
      </c>
      <c r="M70" s="45">
        <v>7.4999999999999997E-2</v>
      </c>
      <c r="N70" s="43">
        <v>2012</v>
      </c>
      <c r="O70" s="43">
        <v>1937</v>
      </c>
      <c r="P70" s="43"/>
      <c r="Q70" s="43">
        <v>60</v>
      </c>
    </row>
    <row r="71" spans="1:17" ht="43.15" customHeight="1" x14ac:dyDescent="0.25">
      <c r="A71" s="46" t="s">
        <v>855</v>
      </c>
      <c r="B71" s="46">
        <v>2642</v>
      </c>
      <c r="C71" s="47">
        <v>0.66300000000000003</v>
      </c>
      <c r="D71" s="47">
        <v>0.151</v>
      </c>
      <c r="E71" s="46">
        <v>2386</v>
      </c>
      <c r="F71" s="47">
        <v>0.65800000000000003</v>
      </c>
      <c r="G71" s="47">
        <v>0.161</v>
      </c>
      <c r="H71" s="46">
        <v>2215</v>
      </c>
      <c r="I71" s="47">
        <v>0.65600000000000003</v>
      </c>
      <c r="J71" s="47">
        <v>0.16900000000000001</v>
      </c>
      <c r="K71" s="46">
        <v>1018</v>
      </c>
      <c r="L71" s="46"/>
      <c r="M71" s="46"/>
      <c r="N71" s="43"/>
      <c r="O71" s="43"/>
      <c r="P71" s="43"/>
      <c r="Q71" s="46">
        <v>1074</v>
      </c>
    </row>
    <row r="72" spans="1:17" x14ac:dyDescent="0.25">
      <c r="A72" s="96" t="s">
        <v>856</v>
      </c>
      <c r="B72" s="94"/>
      <c r="C72" s="94"/>
      <c r="D72" s="94"/>
      <c r="E72" s="94"/>
      <c r="F72" s="94"/>
      <c r="G72" s="94"/>
      <c r="H72" s="94"/>
      <c r="I72" s="94"/>
      <c r="J72" s="94"/>
      <c r="K72" s="94"/>
      <c r="L72" s="94"/>
      <c r="M72" s="94"/>
      <c r="N72" s="94"/>
      <c r="O72" s="94"/>
      <c r="P72" s="94"/>
      <c r="Q72" s="94"/>
    </row>
    <row r="73" spans="1:17" x14ac:dyDescent="0.25">
      <c r="A73" s="94"/>
      <c r="B73" s="94"/>
      <c r="C73" s="94"/>
      <c r="D73" s="94"/>
      <c r="E73" s="94"/>
      <c r="F73" s="94"/>
      <c r="G73" s="94"/>
      <c r="H73" s="94"/>
      <c r="I73" s="94"/>
      <c r="J73" s="94"/>
      <c r="K73" s="94"/>
      <c r="L73" s="94"/>
      <c r="M73" s="94"/>
      <c r="N73" s="94"/>
      <c r="O73" s="94"/>
      <c r="P73" s="94"/>
      <c r="Q73" s="94"/>
    </row>
    <row r="74" spans="1:17" ht="14.45" customHeight="1" x14ac:dyDescent="0.25">
      <c r="A74" s="95" t="s">
        <v>20</v>
      </c>
      <c r="B74" s="93" t="s">
        <v>21</v>
      </c>
      <c r="C74" s="94"/>
      <c r="D74" s="94"/>
      <c r="E74" s="93" t="s">
        <v>22</v>
      </c>
      <c r="F74" s="94"/>
      <c r="G74" s="94"/>
      <c r="H74" s="93" t="s">
        <v>23</v>
      </c>
      <c r="I74" s="94"/>
      <c r="J74" s="94"/>
      <c r="K74" s="93" t="s">
        <v>24</v>
      </c>
      <c r="L74" s="94"/>
      <c r="M74" s="94"/>
      <c r="N74" s="94"/>
      <c r="O74" s="94"/>
      <c r="P74" s="93" t="s">
        <v>25</v>
      </c>
      <c r="Q74" s="93" t="s">
        <v>26</v>
      </c>
    </row>
    <row r="75" spans="1:17" x14ac:dyDescent="0.25">
      <c r="A75" s="94"/>
      <c r="B75" s="43" t="s">
        <v>27</v>
      </c>
      <c r="C75" s="43" t="s">
        <v>28</v>
      </c>
      <c r="D75" s="44">
        <v>46058</v>
      </c>
      <c r="E75" s="43" t="s">
        <v>27</v>
      </c>
      <c r="F75" s="43" t="s">
        <v>28</v>
      </c>
      <c r="G75" s="44">
        <v>46058</v>
      </c>
      <c r="H75" s="43" t="s">
        <v>27</v>
      </c>
      <c r="I75" s="43" t="s">
        <v>28</v>
      </c>
      <c r="J75" s="44">
        <v>46058</v>
      </c>
      <c r="K75" s="43" t="s">
        <v>27</v>
      </c>
      <c r="L75" s="43" t="s">
        <v>28</v>
      </c>
      <c r="M75" s="44">
        <v>46058</v>
      </c>
      <c r="N75" s="43" t="s">
        <v>29</v>
      </c>
      <c r="O75" s="43" t="s">
        <v>30</v>
      </c>
      <c r="P75" s="94"/>
      <c r="Q75" s="94"/>
    </row>
    <row r="76" spans="1:17" ht="57.6" customHeight="1" x14ac:dyDescent="0.25">
      <c r="A76" s="43" t="s">
        <v>48</v>
      </c>
      <c r="B76" s="43"/>
      <c r="C76" s="43"/>
      <c r="D76" s="43"/>
      <c r="E76" s="43"/>
      <c r="F76" s="43"/>
      <c r="G76" s="43"/>
      <c r="H76" s="43"/>
      <c r="I76" s="43"/>
      <c r="J76" s="43"/>
      <c r="K76" s="43">
        <v>68</v>
      </c>
      <c r="L76" s="45">
        <v>0.72099999999999997</v>
      </c>
      <c r="M76" s="45">
        <v>0.35299999999999998</v>
      </c>
      <c r="N76" s="43">
        <v>126</v>
      </c>
      <c r="O76" s="43">
        <v>137</v>
      </c>
      <c r="P76" s="43"/>
      <c r="Q76" s="43">
        <v>68</v>
      </c>
    </row>
    <row r="77" spans="1:17" ht="43.15" customHeight="1" x14ac:dyDescent="0.25">
      <c r="A77" s="43" t="s">
        <v>51</v>
      </c>
      <c r="B77" s="43"/>
      <c r="C77" s="43"/>
      <c r="D77" s="43"/>
      <c r="E77" s="43"/>
      <c r="F77" s="43"/>
      <c r="G77" s="43"/>
      <c r="H77" s="43"/>
      <c r="I77" s="43"/>
      <c r="J77" s="43"/>
      <c r="K77" s="43">
        <v>68</v>
      </c>
      <c r="L77" s="45">
        <v>0.77900000000000003</v>
      </c>
      <c r="M77" s="45">
        <v>0.39700000000000002</v>
      </c>
      <c r="N77" s="43">
        <v>189</v>
      </c>
      <c r="O77" s="43">
        <v>183</v>
      </c>
      <c r="P77" s="43"/>
      <c r="Q77" s="43">
        <v>68</v>
      </c>
    </row>
    <row r="78" spans="1:17" ht="72" customHeight="1" x14ac:dyDescent="0.25">
      <c r="A78" s="43" t="s">
        <v>50</v>
      </c>
      <c r="B78" s="43"/>
      <c r="C78" s="43"/>
      <c r="D78" s="43"/>
      <c r="E78" s="43"/>
      <c r="F78" s="43"/>
      <c r="G78" s="43"/>
      <c r="H78" s="43"/>
      <c r="I78" s="43"/>
      <c r="J78" s="43"/>
      <c r="K78" s="43">
        <v>68</v>
      </c>
      <c r="L78" s="45">
        <v>0.72099999999999997</v>
      </c>
      <c r="M78" s="45">
        <v>0.45600000000000002</v>
      </c>
      <c r="N78" s="43">
        <v>320</v>
      </c>
      <c r="O78" s="43">
        <v>288</v>
      </c>
      <c r="P78" s="43"/>
      <c r="Q78" s="43">
        <v>68</v>
      </c>
    </row>
    <row r="79" spans="1:17" ht="57.6" customHeight="1" x14ac:dyDescent="0.25">
      <c r="A79" s="43" t="s">
        <v>49</v>
      </c>
      <c r="B79" s="43"/>
      <c r="C79" s="43"/>
      <c r="D79" s="43"/>
      <c r="E79" s="43"/>
      <c r="F79" s="43"/>
      <c r="G79" s="43"/>
      <c r="H79" s="43"/>
      <c r="I79" s="43"/>
      <c r="J79" s="43"/>
      <c r="K79" s="43">
        <v>68</v>
      </c>
      <c r="L79" s="45">
        <v>0.61799999999999999</v>
      </c>
      <c r="M79" s="45">
        <v>0.47099999999999997</v>
      </c>
      <c r="N79" s="43">
        <v>161</v>
      </c>
      <c r="O79" s="43">
        <v>160</v>
      </c>
      <c r="P79" s="43"/>
      <c r="Q79" s="43">
        <v>68</v>
      </c>
    </row>
    <row r="80" spans="1:17" ht="28.9" customHeight="1" x14ac:dyDescent="0.25">
      <c r="A80" s="46" t="s">
        <v>857</v>
      </c>
      <c r="B80" s="46">
        <v>1680</v>
      </c>
      <c r="C80" s="47">
        <v>0.70799999999999996</v>
      </c>
      <c r="D80" s="47">
        <v>0.20100000000000001</v>
      </c>
      <c r="E80" s="46">
        <v>796</v>
      </c>
      <c r="F80" s="47">
        <v>0.68300000000000005</v>
      </c>
      <c r="G80" s="47">
        <v>0.33300000000000002</v>
      </c>
      <c r="H80" s="46">
        <v>401</v>
      </c>
      <c r="I80" s="47">
        <v>0.66300000000000003</v>
      </c>
      <c r="J80" s="47">
        <v>0.34899999999999998</v>
      </c>
      <c r="K80" s="46">
        <v>272</v>
      </c>
      <c r="L80" s="46"/>
      <c r="M80" s="46"/>
      <c r="N80" s="43"/>
      <c r="O80" s="43"/>
      <c r="P80" s="43"/>
      <c r="Q80" s="46">
        <v>272</v>
      </c>
    </row>
    <row r="81" spans="1:17" x14ac:dyDescent="0.25">
      <c r="A81" s="96" t="s">
        <v>858</v>
      </c>
      <c r="B81" s="94"/>
      <c r="C81" s="94"/>
      <c r="D81" s="94"/>
      <c r="E81" s="94"/>
      <c r="F81" s="94"/>
      <c r="G81" s="94"/>
      <c r="H81" s="94"/>
      <c r="I81" s="94"/>
      <c r="J81" s="94"/>
      <c r="K81" s="94"/>
      <c r="L81" s="94"/>
      <c r="M81" s="94"/>
      <c r="N81" s="94"/>
      <c r="O81" s="94"/>
      <c r="P81" s="94"/>
      <c r="Q81" s="94"/>
    </row>
    <row r="82" spans="1:17" x14ac:dyDescent="0.25">
      <c r="A82" s="94"/>
      <c r="B82" s="94"/>
      <c r="C82" s="94"/>
      <c r="D82" s="94"/>
      <c r="E82" s="94"/>
      <c r="F82" s="94"/>
      <c r="G82" s="94"/>
      <c r="H82" s="94"/>
      <c r="I82" s="94"/>
      <c r="J82" s="94"/>
      <c r="K82" s="94"/>
      <c r="L82" s="94"/>
      <c r="M82" s="94"/>
      <c r="N82" s="94"/>
      <c r="O82" s="94"/>
      <c r="P82" s="94"/>
      <c r="Q82" s="94"/>
    </row>
    <row r="83" spans="1:17" ht="14.45" customHeight="1" x14ac:dyDescent="0.25">
      <c r="A83" s="95" t="s">
        <v>20</v>
      </c>
      <c r="B83" s="93" t="s">
        <v>21</v>
      </c>
      <c r="C83" s="94"/>
      <c r="D83" s="94"/>
      <c r="E83" s="93" t="s">
        <v>22</v>
      </c>
      <c r="F83" s="94"/>
      <c r="G83" s="94"/>
      <c r="H83" s="93" t="s">
        <v>23</v>
      </c>
      <c r="I83" s="94"/>
      <c r="J83" s="94"/>
      <c r="K83" s="93" t="s">
        <v>24</v>
      </c>
      <c r="L83" s="94"/>
      <c r="M83" s="94"/>
      <c r="N83" s="94"/>
      <c r="O83" s="94"/>
      <c r="P83" s="93" t="s">
        <v>25</v>
      </c>
      <c r="Q83" s="93" t="s">
        <v>26</v>
      </c>
    </row>
    <row r="84" spans="1:17" x14ac:dyDescent="0.25">
      <c r="A84" s="94"/>
      <c r="B84" s="43" t="s">
        <v>27</v>
      </c>
      <c r="C84" s="43" t="s">
        <v>28</v>
      </c>
      <c r="D84" s="44">
        <v>46058</v>
      </c>
      <c r="E84" s="43" t="s">
        <v>27</v>
      </c>
      <c r="F84" s="43" t="s">
        <v>28</v>
      </c>
      <c r="G84" s="44">
        <v>46058</v>
      </c>
      <c r="H84" s="43" t="s">
        <v>27</v>
      </c>
      <c r="I84" s="43" t="s">
        <v>28</v>
      </c>
      <c r="J84" s="44">
        <v>46058</v>
      </c>
      <c r="K84" s="43" t="s">
        <v>27</v>
      </c>
      <c r="L84" s="43" t="s">
        <v>28</v>
      </c>
      <c r="M84" s="44">
        <v>46058</v>
      </c>
      <c r="N84" s="43" t="s">
        <v>29</v>
      </c>
      <c r="O84" s="43" t="s">
        <v>30</v>
      </c>
      <c r="P84" s="94"/>
      <c r="Q84" s="94"/>
    </row>
    <row r="85" spans="1:17" ht="100.9" customHeight="1" x14ac:dyDescent="0.25">
      <c r="A85" s="43" t="s">
        <v>859</v>
      </c>
      <c r="B85" s="43"/>
      <c r="C85" s="43"/>
      <c r="D85" s="43"/>
      <c r="E85" s="43"/>
      <c r="F85" s="43"/>
      <c r="G85" s="43"/>
      <c r="H85" s="43"/>
      <c r="I85" s="43"/>
      <c r="J85" s="43"/>
      <c r="K85" s="43">
        <v>9</v>
      </c>
      <c r="L85" s="45">
        <v>0.66700000000000004</v>
      </c>
      <c r="M85" s="45">
        <v>0.33300000000000002</v>
      </c>
      <c r="N85" s="43">
        <v>556</v>
      </c>
      <c r="O85" s="43">
        <v>566</v>
      </c>
      <c r="P85" s="43"/>
      <c r="Q85" s="43">
        <v>7</v>
      </c>
    </row>
    <row r="86" spans="1:17" ht="100.9" customHeight="1" x14ac:dyDescent="0.25">
      <c r="A86" s="43" t="s">
        <v>860</v>
      </c>
      <c r="B86" s="43"/>
      <c r="C86" s="43"/>
      <c r="D86" s="43"/>
      <c r="E86" s="43"/>
      <c r="F86" s="43"/>
      <c r="G86" s="43"/>
      <c r="H86" s="43"/>
      <c r="I86" s="43"/>
      <c r="J86" s="43"/>
      <c r="K86" s="43">
        <v>5</v>
      </c>
      <c r="L86" s="45">
        <v>1</v>
      </c>
      <c r="M86" s="45">
        <v>0.4</v>
      </c>
      <c r="N86" s="43">
        <v>313</v>
      </c>
      <c r="O86" s="43">
        <v>312</v>
      </c>
      <c r="P86" s="43"/>
      <c r="Q86" s="43">
        <v>8</v>
      </c>
    </row>
    <row r="87" spans="1:17" ht="28.9" customHeight="1" x14ac:dyDescent="0.25">
      <c r="A87" s="43" t="s">
        <v>800</v>
      </c>
      <c r="B87" s="43"/>
      <c r="C87" s="43"/>
      <c r="D87" s="43"/>
      <c r="E87" s="43"/>
      <c r="F87" s="43"/>
      <c r="G87" s="43"/>
      <c r="H87" s="43"/>
      <c r="I87" s="43"/>
      <c r="J87" s="43"/>
      <c r="K87" s="43">
        <v>4</v>
      </c>
      <c r="L87" s="45">
        <v>0.25</v>
      </c>
      <c r="M87" s="45">
        <v>0.5</v>
      </c>
      <c r="N87" s="43">
        <v>84</v>
      </c>
      <c r="O87" s="43">
        <v>81</v>
      </c>
      <c r="P87" s="43"/>
      <c r="Q87" s="43">
        <v>3</v>
      </c>
    </row>
    <row r="88" spans="1:17" x14ac:dyDescent="0.25">
      <c r="A88" s="43" t="s">
        <v>805</v>
      </c>
      <c r="B88" s="43"/>
      <c r="C88" s="43"/>
      <c r="D88" s="43"/>
      <c r="E88" s="43"/>
      <c r="F88" s="43"/>
      <c r="G88" s="43"/>
      <c r="H88" s="43"/>
      <c r="I88" s="43"/>
      <c r="J88" s="43"/>
      <c r="K88" s="43">
        <v>3</v>
      </c>
      <c r="L88" s="45">
        <v>0.33300000000000002</v>
      </c>
      <c r="M88" s="45">
        <v>0.33300000000000002</v>
      </c>
      <c r="N88" s="43">
        <v>410</v>
      </c>
      <c r="O88" s="43">
        <v>359</v>
      </c>
      <c r="P88" s="43"/>
      <c r="Q88" s="43">
        <v>5</v>
      </c>
    </row>
    <row r="89" spans="1:17" ht="28.9" customHeight="1" x14ac:dyDescent="0.25">
      <c r="A89" s="43" t="s">
        <v>810</v>
      </c>
      <c r="B89" s="43"/>
      <c r="C89" s="43"/>
      <c r="D89" s="43"/>
      <c r="E89" s="43"/>
      <c r="F89" s="43"/>
      <c r="G89" s="43"/>
      <c r="H89" s="43"/>
      <c r="I89" s="43"/>
      <c r="J89" s="43"/>
      <c r="K89" s="43">
        <v>2</v>
      </c>
      <c r="L89" s="45">
        <v>0.5</v>
      </c>
      <c r="M89" s="45">
        <v>0.5</v>
      </c>
      <c r="N89" s="43">
        <v>192</v>
      </c>
      <c r="O89" s="43">
        <v>192</v>
      </c>
      <c r="P89" s="43"/>
      <c r="Q89" s="43">
        <v>2</v>
      </c>
    </row>
    <row r="90" spans="1:17" x14ac:dyDescent="0.25">
      <c r="A90" s="43" t="s">
        <v>815</v>
      </c>
      <c r="B90" s="43"/>
      <c r="C90" s="43"/>
      <c r="D90" s="43"/>
      <c r="E90" s="43"/>
      <c r="F90" s="43"/>
      <c r="G90" s="43"/>
      <c r="H90" s="43"/>
      <c r="I90" s="43"/>
      <c r="J90" s="43"/>
      <c r="K90" s="43">
        <v>2</v>
      </c>
      <c r="L90" s="45">
        <v>0.5</v>
      </c>
      <c r="M90" s="45">
        <v>0.5</v>
      </c>
      <c r="N90" s="43">
        <v>12</v>
      </c>
      <c r="O90" s="43">
        <v>12</v>
      </c>
      <c r="P90" s="43"/>
      <c r="Q90" s="43">
        <v>2</v>
      </c>
    </row>
    <row r="91" spans="1:17" ht="28.9" customHeight="1" x14ac:dyDescent="0.25">
      <c r="A91" s="43" t="s">
        <v>861</v>
      </c>
      <c r="B91" s="43"/>
      <c r="C91" s="43"/>
      <c r="D91" s="43"/>
      <c r="E91" s="43"/>
      <c r="F91" s="43"/>
      <c r="G91" s="43"/>
      <c r="H91" s="43"/>
      <c r="I91" s="43"/>
      <c r="J91" s="43"/>
      <c r="K91" s="43">
        <v>3</v>
      </c>
      <c r="L91" s="45">
        <v>0</v>
      </c>
      <c r="M91" s="45">
        <v>0.33300000000000002</v>
      </c>
      <c r="N91" s="43">
        <v>512</v>
      </c>
      <c r="O91" s="43">
        <v>475</v>
      </c>
      <c r="P91" s="43"/>
      <c r="Q91" s="43">
        <v>3</v>
      </c>
    </row>
    <row r="92" spans="1:17" ht="28.9" customHeight="1" x14ac:dyDescent="0.25">
      <c r="A92" s="46" t="s">
        <v>862</v>
      </c>
      <c r="B92" s="46">
        <v>1003</v>
      </c>
      <c r="C92" s="47">
        <v>0.66</v>
      </c>
      <c r="D92" s="47">
        <v>0.14299999999999999</v>
      </c>
      <c r="E92" s="46">
        <v>724</v>
      </c>
      <c r="F92" s="47">
        <v>0.63300000000000001</v>
      </c>
      <c r="G92" s="47">
        <v>0.16900000000000001</v>
      </c>
      <c r="H92" s="46">
        <v>684</v>
      </c>
      <c r="I92" s="47">
        <v>0.63600000000000001</v>
      </c>
      <c r="J92" s="47">
        <v>0.17100000000000001</v>
      </c>
      <c r="K92" s="46">
        <v>28</v>
      </c>
      <c r="L92" s="46"/>
      <c r="M92" s="46"/>
      <c r="N92" s="43"/>
      <c r="O92" s="43"/>
      <c r="P92" s="43"/>
      <c r="Q92" s="46">
        <v>30</v>
      </c>
    </row>
    <row r="93" spans="1:17" x14ac:dyDescent="0.25">
      <c r="A93" s="96" t="s">
        <v>863</v>
      </c>
      <c r="B93" s="94"/>
      <c r="C93" s="94"/>
      <c r="D93" s="94"/>
      <c r="E93" s="94"/>
      <c r="F93" s="94"/>
      <c r="G93" s="94"/>
      <c r="H93" s="94"/>
      <c r="I93" s="94"/>
      <c r="J93" s="94"/>
      <c r="K93" s="94"/>
      <c r="L93" s="94"/>
      <c r="M93" s="94"/>
      <c r="N93" s="94"/>
      <c r="O93" s="94"/>
      <c r="P93" s="94"/>
      <c r="Q93" s="94"/>
    </row>
    <row r="94" spans="1:17" x14ac:dyDescent="0.25">
      <c r="A94" s="94"/>
      <c r="B94" s="94"/>
      <c r="C94" s="94"/>
      <c r="D94" s="94"/>
      <c r="E94" s="94"/>
      <c r="F94" s="94"/>
      <c r="G94" s="94"/>
      <c r="H94" s="94"/>
      <c r="I94" s="94"/>
      <c r="J94" s="94"/>
      <c r="K94" s="94"/>
      <c r="L94" s="94"/>
      <c r="M94" s="94"/>
      <c r="N94" s="94"/>
      <c r="O94" s="94"/>
      <c r="P94" s="94"/>
      <c r="Q94" s="94"/>
    </row>
    <row r="95" spans="1:17" ht="14.45" customHeight="1" x14ac:dyDescent="0.25">
      <c r="A95" s="95" t="s">
        <v>20</v>
      </c>
      <c r="B95" s="93" t="s">
        <v>21</v>
      </c>
      <c r="C95" s="94"/>
      <c r="D95" s="94"/>
      <c r="E95" s="93" t="s">
        <v>22</v>
      </c>
      <c r="F95" s="94"/>
      <c r="G95" s="94"/>
      <c r="H95" s="93" t="s">
        <v>23</v>
      </c>
      <c r="I95" s="94"/>
      <c r="J95" s="94"/>
      <c r="K95" s="93" t="s">
        <v>24</v>
      </c>
      <c r="L95" s="94"/>
      <c r="M95" s="94"/>
      <c r="N95" s="94"/>
      <c r="O95" s="94"/>
      <c r="P95" s="93" t="s">
        <v>25</v>
      </c>
      <c r="Q95" s="93" t="s">
        <v>26</v>
      </c>
    </row>
    <row r="96" spans="1:17" x14ac:dyDescent="0.25">
      <c r="A96" s="94"/>
      <c r="B96" s="43" t="s">
        <v>27</v>
      </c>
      <c r="C96" s="43" t="s">
        <v>28</v>
      </c>
      <c r="D96" s="44">
        <v>46058</v>
      </c>
      <c r="E96" s="43" t="s">
        <v>27</v>
      </c>
      <c r="F96" s="43" t="s">
        <v>28</v>
      </c>
      <c r="G96" s="44">
        <v>46058</v>
      </c>
      <c r="H96" s="43" t="s">
        <v>27</v>
      </c>
      <c r="I96" s="43" t="s">
        <v>28</v>
      </c>
      <c r="J96" s="44">
        <v>46058</v>
      </c>
      <c r="K96" s="43" t="s">
        <v>27</v>
      </c>
      <c r="L96" s="43" t="s">
        <v>28</v>
      </c>
      <c r="M96" s="44">
        <v>46058</v>
      </c>
      <c r="N96" s="43" t="s">
        <v>29</v>
      </c>
      <c r="O96" s="43" t="s">
        <v>30</v>
      </c>
      <c r="P96" s="94"/>
      <c r="Q96" s="94"/>
    </row>
    <row r="97" spans="1:17" ht="57.6" customHeight="1" x14ac:dyDescent="0.25">
      <c r="A97" s="43" t="s">
        <v>864</v>
      </c>
      <c r="B97" s="43"/>
      <c r="C97" s="43"/>
      <c r="D97" s="43"/>
      <c r="E97" s="43"/>
      <c r="F97" s="43"/>
      <c r="G97" s="43"/>
      <c r="H97" s="43"/>
      <c r="I97" s="43"/>
      <c r="J97" s="43"/>
      <c r="K97" s="43">
        <v>7</v>
      </c>
      <c r="L97" s="45">
        <v>0.57099999999999995</v>
      </c>
      <c r="M97" s="45">
        <v>0.14299999999999999</v>
      </c>
      <c r="N97" s="43">
        <v>327</v>
      </c>
      <c r="O97" s="43">
        <v>362</v>
      </c>
      <c r="P97" s="43"/>
      <c r="Q97" s="43">
        <v>6</v>
      </c>
    </row>
    <row r="98" spans="1:17" ht="57.6" customHeight="1" x14ac:dyDescent="0.25">
      <c r="A98" s="43" t="s">
        <v>54</v>
      </c>
      <c r="B98" s="43"/>
      <c r="C98" s="43"/>
      <c r="D98" s="43"/>
      <c r="E98" s="43"/>
      <c r="F98" s="43"/>
      <c r="G98" s="43"/>
      <c r="H98" s="43"/>
      <c r="I98" s="43"/>
      <c r="J98" s="43"/>
      <c r="K98" s="43">
        <v>18</v>
      </c>
      <c r="L98" s="45">
        <v>0.72199999999999998</v>
      </c>
      <c r="M98" s="45">
        <v>0.222</v>
      </c>
      <c r="N98" s="43">
        <v>422</v>
      </c>
      <c r="O98" s="43">
        <v>390</v>
      </c>
      <c r="P98" s="43"/>
      <c r="Q98" s="43">
        <v>18</v>
      </c>
    </row>
    <row r="99" spans="1:17" ht="72" customHeight="1" x14ac:dyDescent="0.25">
      <c r="A99" s="43" t="s">
        <v>55</v>
      </c>
      <c r="B99" s="43"/>
      <c r="C99" s="43"/>
      <c r="D99" s="43"/>
      <c r="E99" s="43"/>
      <c r="F99" s="43"/>
      <c r="G99" s="43"/>
      <c r="H99" s="43"/>
      <c r="I99" s="43"/>
      <c r="J99" s="43"/>
      <c r="K99" s="43">
        <v>3</v>
      </c>
      <c r="L99" s="45">
        <v>1</v>
      </c>
      <c r="M99" s="45">
        <v>0</v>
      </c>
      <c r="N99" s="43">
        <v>678</v>
      </c>
      <c r="O99" s="43">
        <v>593</v>
      </c>
      <c r="P99" s="43"/>
      <c r="Q99" s="43">
        <v>3</v>
      </c>
    </row>
    <row r="100" spans="1:17" ht="28.9" customHeight="1" x14ac:dyDescent="0.25">
      <c r="A100" s="43" t="s">
        <v>56</v>
      </c>
      <c r="B100" s="43"/>
      <c r="C100" s="43"/>
      <c r="D100" s="43"/>
      <c r="E100" s="43"/>
      <c r="F100" s="43"/>
      <c r="G100" s="43"/>
      <c r="H100" s="43"/>
      <c r="I100" s="43"/>
      <c r="J100" s="43"/>
      <c r="K100" s="43">
        <v>10</v>
      </c>
      <c r="L100" s="45">
        <v>0.6</v>
      </c>
      <c r="M100" s="45">
        <v>0</v>
      </c>
      <c r="N100" s="43">
        <v>283</v>
      </c>
      <c r="O100" s="43">
        <v>265</v>
      </c>
      <c r="P100" s="43"/>
      <c r="Q100" s="43">
        <v>9</v>
      </c>
    </row>
    <row r="101" spans="1:17" ht="115.15" customHeight="1" x14ac:dyDescent="0.25">
      <c r="A101" s="43" t="s">
        <v>57</v>
      </c>
      <c r="B101" s="43"/>
      <c r="C101" s="43"/>
      <c r="D101" s="43"/>
      <c r="E101" s="43"/>
      <c r="F101" s="43"/>
      <c r="G101" s="43"/>
      <c r="H101" s="43"/>
      <c r="I101" s="43"/>
      <c r="J101" s="43"/>
      <c r="K101" s="43">
        <v>6</v>
      </c>
      <c r="L101" s="45">
        <v>0.66700000000000004</v>
      </c>
      <c r="M101" s="45">
        <v>0</v>
      </c>
      <c r="N101" s="43">
        <v>904</v>
      </c>
      <c r="O101" s="43">
        <v>829</v>
      </c>
      <c r="P101" s="43"/>
      <c r="Q101" s="43">
        <v>5</v>
      </c>
    </row>
    <row r="102" spans="1:17" ht="72" customHeight="1" x14ac:dyDescent="0.25">
      <c r="A102" s="43" t="s">
        <v>865</v>
      </c>
      <c r="B102" s="43"/>
      <c r="C102" s="43"/>
      <c r="D102" s="43"/>
      <c r="E102" s="43"/>
      <c r="F102" s="43"/>
      <c r="G102" s="43"/>
      <c r="H102" s="43"/>
      <c r="I102" s="43"/>
      <c r="J102" s="43"/>
      <c r="K102" s="43">
        <v>3</v>
      </c>
      <c r="L102" s="45">
        <v>0.66700000000000004</v>
      </c>
      <c r="M102" s="45">
        <v>0</v>
      </c>
      <c r="N102" s="43">
        <v>733</v>
      </c>
      <c r="O102" s="43">
        <v>786</v>
      </c>
      <c r="P102" s="43"/>
      <c r="Q102" s="43">
        <v>2</v>
      </c>
    </row>
    <row r="103" spans="1:17" ht="28.9" customHeight="1" x14ac:dyDescent="0.25">
      <c r="A103" s="43" t="s">
        <v>866</v>
      </c>
      <c r="B103" s="43"/>
      <c r="C103" s="43"/>
      <c r="D103" s="43"/>
      <c r="E103" s="43"/>
      <c r="F103" s="43"/>
      <c r="G103" s="43"/>
      <c r="H103" s="43"/>
      <c r="I103" s="43"/>
      <c r="J103" s="43"/>
      <c r="K103" s="43">
        <v>0</v>
      </c>
      <c r="L103" s="45">
        <v>0</v>
      </c>
      <c r="M103" s="45">
        <v>0</v>
      </c>
      <c r="N103" s="43">
        <v>0</v>
      </c>
      <c r="O103" s="43">
        <v>0</v>
      </c>
      <c r="P103" s="43"/>
      <c r="Q103" s="43">
        <v>1</v>
      </c>
    </row>
    <row r="104" spans="1:17" ht="43.15" customHeight="1" x14ac:dyDescent="0.25">
      <c r="A104" s="43" t="s">
        <v>58</v>
      </c>
      <c r="B104" s="43"/>
      <c r="C104" s="43"/>
      <c r="D104" s="43"/>
      <c r="E104" s="43"/>
      <c r="F104" s="43"/>
      <c r="G104" s="43"/>
      <c r="H104" s="43"/>
      <c r="I104" s="43"/>
      <c r="J104" s="43"/>
      <c r="K104" s="43">
        <v>0</v>
      </c>
      <c r="L104" s="45">
        <v>0</v>
      </c>
      <c r="M104" s="45">
        <v>0</v>
      </c>
      <c r="N104" s="43">
        <v>0</v>
      </c>
      <c r="O104" s="43">
        <v>0</v>
      </c>
      <c r="P104" s="43"/>
      <c r="Q104" s="43">
        <v>1</v>
      </c>
    </row>
    <row r="105" spans="1:17" ht="57.6" customHeight="1" x14ac:dyDescent="0.25">
      <c r="A105" s="43" t="s">
        <v>59</v>
      </c>
      <c r="B105" s="43"/>
      <c r="C105" s="43"/>
      <c r="D105" s="43"/>
      <c r="E105" s="43"/>
      <c r="F105" s="43"/>
      <c r="G105" s="43"/>
      <c r="H105" s="43"/>
      <c r="I105" s="43"/>
      <c r="J105" s="43"/>
      <c r="K105" s="43">
        <v>14</v>
      </c>
      <c r="L105" s="45">
        <v>0.85699999999999998</v>
      </c>
      <c r="M105" s="45">
        <v>0.14299999999999999</v>
      </c>
      <c r="N105" s="43">
        <v>821</v>
      </c>
      <c r="O105" s="43">
        <v>755</v>
      </c>
      <c r="P105" s="43"/>
      <c r="Q105" s="43">
        <v>13</v>
      </c>
    </row>
    <row r="106" spans="1:17" ht="72" customHeight="1" x14ac:dyDescent="0.25">
      <c r="A106" s="43" t="s">
        <v>60</v>
      </c>
      <c r="B106" s="43"/>
      <c r="C106" s="43"/>
      <c r="D106" s="43"/>
      <c r="E106" s="43"/>
      <c r="F106" s="43"/>
      <c r="G106" s="43"/>
      <c r="H106" s="43"/>
      <c r="I106" s="43"/>
      <c r="J106" s="43"/>
      <c r="K106" s="43">
        <v>3</v>
      </c>
      <c r="L106" s="45">
        <v>1</v>
      </c>
      <c r="M106" s="45">
        <v>0.33300000000000002</v>
      </c>
      <c r="N106" s="43">
        <v>828</v>
      </c>
      <c r="O106" s="43">
        <v>814</v>
      </c>
      <c r="P106" s="43"/>
      <c r="Q106" s="43">
        <v>4</v>
      </c>
    </row>
    <row r="107" spans="1:17" ht="100.9" customHeight="1" x14ac:dyDescent="0.25">
      <c r="A107" s="43" t="s">
        <v>867</v>
      </c>
      <c r="B107" s="43"/>
      <c r="C107" s="43"/>
      <c r="D107" s="43"/>
      <c r="E107" s="43"/>
      <c r="F107" s="43"/>
      <c r="G107" s="43"/>
      <c r="H107" s="43"/>
      <c r="I107" s="43"/>
      <c r="J107" s="43"/>
      <c r="K107" s="43">
        <v>0</v>
      </c>
      <c r="L107" s="45">
        <v>0</v>
      </c>
      <c r="M107" s="45">
        <v>0</v>
      </c>
      <c r="N107" s="43">
        <v>0</v>
      </c>
      <c r="O107" s="43">
        <v>0</v>
      </c>
      <c r="P107" s="43"/>
      <c r="Q107" s="43">
        <v>1</v>
      </c>
    </row>
    <row r="108" spans="1:17" ht="57.6" customHeight="1" x14ac:dyDescent="0.25">
      <c r="A108" s="43" t="s">
        <v>61</v>
      </c>
      <c r="B108" s="43"/>
      <c r="C108" s="43"/>
      <c r="D108" s="43"/>
      <c r="E108" s="43"/>
      <c r="F108" s="43"/>
      <c r="G108" s="43"/>
      <c r="H108" s="43"/>
      <c r="I108" s="43"/>
      <c r="J108" s="43"/>
      <c r="K108" s="43">
        <v>8</v>
      </c>
      <c r="L108" s="45">
        <v>0.875</v>
      </c>
      <c r="M108" s="45">
        <v>0.125</v>
      </c>
      <c r="N108" s="43">
        <v>817</v>
      </c>
      <c r="O108" s="43">
        <v>774</v>
      </c>
      <c r="P108" s="43"/>
      <c r="Q108" s="43">
        <v>8</v>
      </c>
    </row>
    <row r="109" spans="1:17" ht="72" customHeight="1" x14ac:dyDescent="0.25">
      <c r="A109" s="43" t="s">
        <v>868</v>
      </c>
      <c r="B109" s="43"/>
      <c r="C109" s="43"/>
      <c r="D109" s="43"/>
      <c r="E109" s="43"/>
      <c r="F109" s="43"/>
      <c r="G109" s="43"/>
      <c r="H109" s="43"/>
      <c r="I109" s="43"/>
      <c r="J109" s="43"/>
      <c r="K109" s="43">
        <v>1</v>
      </c>
      <c r="L109" s="45">
        <v>0</v>
      </c>
      <c r="M109" s="45">
        <v>0</v>
      </c>
      <c r="N109" s="43">
        <v>1021</v>
      </c>
      <c r="O109" s="43">
        <v>1021</v>
      </c>
      <c r="P109" s="43"/>
      <c r="Q109" s="43">
        <v>2</v>
      </c>
    </row>
    <row r="110" spans="1:17" ht="57.6" customHeight="1" x14ac:dyDescent="0.25">
      <c r="A110" s="43" t="s">
        <v>62</v>
      </c>
      <c r="B110" s="43"/>
      <c r="C110" s="43"/>
      <c r="D110" s="43"/>
      <c r="E110" s="43"/>
      <c r="F110" s="43"/>
      <c r="G110" s="43"/>
      <c r="H110" s="43"/>
      <c r="I110" s="43"/>
      <c r="J110" s="43"/>
      <c r="K110" s="43">
        <v>0</v>
      </c>
      <c r="L110" s="45">
        <v>0</v>
      </c>
      <c r="M110" s="45">
        <v>0</v>
      </c>
      <c r="N110" s="43">
        <v>0</v>
      </c>
      <c r="O110" s="43">
        <v>0</v>
      </c>
      <c r="P110" s="43"/>
      <c r="Q110" s="43">
        <v>1</v>
      </c>
    </row>
    <row r="111" spans="1:17" ht="86.45" customHeight="1" x14ac:dyDescent="0.25">
      <c r="A111" s="43" t="s">
        <v>63</v>
      </c>
      <c r="B111" s="43"/>
      <c r="C111" s="43"/>
      <c r="D111" s="43"/>
      <c r="E111" s="43"/>
      <c r="F111" s="43"/>
      <c r="G111" s="43"/>
      <c r="H111" s="43"/>
      <c r="I111" s="43"/>
      <c r="J111" s="43"/>
      <c r="K111" s="43">
        <v>3</v>
      </c>
      <c r="L111" s="45">
        <v>1</v>
      </c>
      <c r="M111" s="45">
        <v>0</v>
      </c>
      <c r="N111" s="43">
        <v>982</v>
      </c>
      <c r="O111" s="43">
        <v>966</v>
      </c>
      <c r="P111" s="43"/>
      <c r="Q111" s="43">
        <v>1</v>
      </c>
    </row>
    <row r="112" spans="1:17" ht="57.6" customHeight="1" x14ac:dyDescent="0.25">
      <c r="A112" s="43" t="s">
        <v>64</v>
      </c>
      <c r="B112" s="43"/>
      <c r="C112" s="43"/>
      <c r="D112" s="43"/>
      <c r="E112" s="43"/>
      <c r="F112" s="43"/>
      <c r="G112" s="43"/>
      <c r="H112" s="43"/>
      <c r="I112" s="43"/>
      <c r="J112" s="43"/>
      <c r="K112" s="43">
        <v>6</v>
      </c>
      <c r="L112" s="45">
        <v>0.66700000000000004</v>
      </c>
      <c r="M112" s="45">
        <v>0.16700000000000001</v>
      </c>
      <c r="N112" s="43">
        <v>834</v>
      </c>
      <c r="O112" s="43">
        <v>815</v>
      </c>
      <c r="P112" s="43"/>
      <c r="Q112" s="43">
        <v>5</v>
      </c>
    </row>
    <row r="113" spans="1:17" ht="86.45" customHeight="1" x14ac:dyDescent="0.25">
      <c r="A113" s="43" t="s">
        <v>869</v>
      </c>
      <c r="B113" s="43"/>
      <c r="C113" s="43"/>
      <c r="D113" s="43"/>
      <c r="E113" s="43"/>
      <c r="F113" s="43"/>
      <c r="G113" s="43"/>
      <c r="H113" s="43"/>
      <c r="I113" s="43"/>
      <c r="J113" s="43"/>
      <c r="K113" s="43">
        <v>5</v>
      </c>
      <c r="L113" s="45">
        <v>0.8</v>
      </c>
      <c r="M113" s="45">
        <v>0.2</v>
      </c>
      <c r="N113" s="43">
        <v>489</v>
      </c>
      <c r="O113" s="43">
        <v>430</v>
      </c>
      <c r="P113" s="43"/>
      <c r="Q113" s="43">
        <v>4</v>
      </c>
    </row>
    <row r="114" spans="1:17" ht="57.6" customHeight="1" x14ac:dyDescent="0.25">
      <c r="A114" s="43" t="s">
        <v>870</v>
      </c>
      <c r="B114" s="43"/>
      <c r="C114" s="43"/>
      <c r="D114" s="43"/>
      <c r="E114" s="43"/>
      <c r="F114" s="43"/>
      <c r="G114" s="43"/>
      <c r="H114" s="43"/>
      <c r="I114" s="43"/>
      <c r="J114" s="43"/>
      <c r="K114" s="43">
        <v>5</v>
      </c>
      <c r="L114" s="45">
        <v>1</v>
      </c>
      <c r="M114" s="45">
        <v>0.2</v>
      </c>
      <c r="N114" s="43">
        <v>770</v>
      </c>
      <c r="O114" s="43">
        <v>722</v>
      </c>
      <c r="P114" s="43"/>
      <c r="Q114" s="43">
        <v>5</v>
      </c>
    </row>
    <row r="115" spans="1:17" ht="86.45" customHeight="1" x14ac:dyDescent="0.25">
      <c r="A115" s="43" t="s">
        <v>871</v>
      </c>
      <c r="B115" s="43"/>
      <c r="C115" s="43"/>
      <c r="D115" s="43"/>
      <c r="E115" s="43"/>
      <c r="F115" s="43"/>
      <c r="G115" s="43"/>
      <c r="H115" s="43"/>
      <c r="I115" s="43"/>
      <c r="J115" s="43"/>
      <c r="K115" s="43">
        <v>6</v>
      </c>
      <c r="L115" s="45">
        <v>0.66700000000000004</v>
      </c>
      <c r="M115" s="45">
        <v>0.33300000000000002</v>
      </c>
      <c r="N115" s="43">
        <v>713</v>
      </c>
      <c r="O115" s="43">
        <v>622</v>
      </c>
      <c r="P115" s="43"/>
      <c r="Q115" s="43">
        <v>5</v>
      </c>
    </row>
    <row r="116" spans="1:17" ht="72" customHeight="1" x14ac:dyDescent="0.25">
      <c r="A116" s="43" t="s">
        <v>872</v>
      </c>
      <c r="B116" s="43"/>
      <c r="C116" s="43"/>
      <c r="D116" s="43"/>
      <c r="E116" s="43"/>
      <c r="F116" s="43"/>
      <c r="G116" s="43"/>
      <c r="H116" s="43"/>
      <c r="I116" s="43"/>
      <c r="J116" s="43"/>
      <c r="K116" s="43">
        <v>0</v>
      </c>
      <c r="L116" s="45">
        <v>0</v>
      </c>
      <c r="M116" s="45">
        <v>0</v>
      </c>
      <c r="N116" s="43">
        <v>0</v>
      </c>
      <c r="O116" s="43">
        <v>0</v>
      </c>
      <c r="P116" s="43"/>
      <c r="Q116" s="43">
        <v>3</v>
      </c>
    </row>
    <row r="117" spans="1:17" ht="72" customHeight="1" x14ac:dyDescent="0.25">
      <c r="A117" s="43" t="s">
        <v>65</v>
      </c>
      <c r="B117" s="43"/>
      <c r="C117" s="43"/>
      <c r="D117" s="43"/>
      <c r="E117" s="43"/>
      <c r="F117" s="43"/>
      <c r="G117" s="43"/>
      <c r="H117" s="43"/>
      <c r="I117" s="43"/>
      <c r="J117" s="43"/>
      <c r="K117" s="43">
        <v>3</v>
      </c>
      <c r="L117" s="45">
        <v>0.33300000000000002</v>
      </c>
      <c r="M117" s="45">
        <v>0</v>
      </c>
      <c r="N117" s="43">
        <v>784</v>
      </c>
      <c r="O117" s="43">
        <v>793</v>
      </c>
      <c r="P117" s="43"/>
      <c r="Q117" s="43">
        <v>3</v>
      </c>
    </row>
    <row r="118" spans="1:17" ht="57.6" customHeight="1" x14ac:dyDescent="0.25">
      <c r="A118" s="43" t="s">
        <v>66</v>
      </c>
      <c r="B118" s="43"/>
      <c r="C118" s="43"/>
      <c r="D118" s="43"/>
      <c r="E118" s="43"/>
      <c r="F118" s="43"/>
      <c r="G118" s="43"/>
      <c r="H118" s="43"/>
      <c r="I118" s="43"/>
      <c r="J118" s="43"/>
      <c r="K118" s="43">
        <v>9</v>
      </c>
      <c r="L118" s="45">
        <v>0.77800000000000002</v>
      </c>
      <c r="M118" s="45">
        <v>0.222</v>
      </c>
      <c r="N118" s="43">
        <v>612</v>
      </c>
      <c r="O118" s="43">
        <v>582</v>
      </c>
      <c r="P118" s="43"/>
      <c r="Q118" s="43">
        <v>12</v>
      </c>
    </row>
    <row r="119" spans="1:17" ht="72" customHeight="1" x14ac:dyDescent="0.25">
      <c r="A119" s="43" t="s">
        <v>873</v>
      </c>
      <c r="B119" s="43"/>
      <c r="C119" s="43"/>
      <c r="D119" s="43"/>
      <c r="E119" s="43"/>
      <c r="F119" s="43"/>
      <c r="G119" s="43"/>
      <c r="H119" s="43"/>
      <c r="I119" s="43"/>
      <c r="J119" s="43"/>
      <c r="K119" s="43">
        <v>0</v>
      </c>
      <c r="L119" s="45">
        <v>0</v>
      </c>
      <c r="M119" s="45">
        <v>0</v>
      </c>
      <c r="N119" s="43">
        <v>0</v>
      </c>
      <c r="O119" s="43">
        <v>0</v>
      </c>
      <c r="P119" s="43"/>
      <c r="Q119" s="43">
        <v>1</v>
      </c>
    </row>
    <row r="120" spans="1:17" ht="57.6" customHeight="1" x14ac:dyDescent="0.25">
      <c r="A120" s="43" t="s">
        <v>874</v>
      </c>
      <c r="B120" s="43"/>
      <c r="C120" s="43"/>
      <c r="D120" s="43"/>
      <c r="E120" s="43"/>
      <c r="F120" s="43"/>
      <c r="G120" s="43"/>
      <c r="H120" s="43"/>
      <c r="I120" s="43"/>
      <c r="J120" s="43"/>
      <c r="K120" s="43">
        <v>4</v>
      </c>
      <c r="L120" s="45">
        <v>1</v>
      </c>
      <c r="M120" s="45">
        <v>0.75</v>
      </c>
      <c r="N120" s="43">
        <v>1025</v>
      </c>
      <c r="O120" s="43">
        <v>1010</v>
      </c>
      <c r="P120" s="43"/>
      <c r="Q120" s="43">
        <v>1</v>
      </c>
    </row>
    <row r="121" spans="1:17" ht="57.6" customHeight="1" x14ac:dyDescent="0.25">
      <c r="A121" s="43" t="s">
        <v>875</v>
      </c>
      <c r="B121" s="43"/>
      <c r="C121" s="43"/>
      <c r="D121" s="43"/>
      <c r="E121" s="43"/>
      <c r="F121" s="43"/>
      <c r="G121" s="43"/>
      <c r="H121" s="43"/>
      <c r="I121" s="43"/>
      <c r="J121" s="43"/>
      <c r="K121" s="43">
        <v>6</v>
      </c>
      <c r="L121" s="45">
        <v>0.83299999999999996</v>
      </c>
      <c r="M121" s="45">
        <v>0.16700000000000001</v>
      </c>
      <c r="N121" s="43">
        <v>1000</v>
      </c>
      <c r="O121" s="43">
        <v>863</v>
      </c>
      <c r="P121" s="43"/>
      <c r="Q121" s="43">
        <v>5</v>
      </c>
    </row>
    <row r="122" spans="1:17" ht="43.15" customHeight="1" x14ac:dyDescent="0.25">
      <c r="A122" s="43" t="s">
        <v>876</v>
      </c>
      <c r="B122" s="43"/>
      <c r="C122" s="43"/>
      <c r="D122" s="43"/>
      <c r="E122" s="43"/>
      <c r="F122" s="43"/>
      <c r="G122" s="43"/>
      <c r="H122" s="43"/>
      <c r="I122" s="43"/>
      <c r="J122" s="43"/>
      <c r="K122" s="43">
        <v>1</v>
      </c>
      <c r="L122" s="45">
        <v>1</v>
      </c>
      <c r="M122" s="45">
        <v>0</v>
      </c>
      <c r="N122" s="43">
        <v>761</v>
      </c>
      <c r="O122" s="43">
        <v>761</v>
      </c>
      <c r="P122" s="43"/>
      <c r="Q122" s="43">
        <v>1</v>
      </c>
    </row>
    <row r="123" spans="1:17" ht="100.9" customHeight="1" x14ac:dyDescent="0.25">
      <c r="A123" s="43" t="s">
        <v>877</v>
      </c>
      <c r="B123" s="43"/>
      <c r="C123" s="43"/>
      <c r="D123" s="43"/>
      <c r="E123" s="43"/>
      <c r="F123" s="43"/>
      <c r="G123" s="43"/>
      <c r="H123" s="43"/>
      <c r="I123" s="43"/>
      <c r="J123" s="43"/>
      <c r="K123" s="43">
        <v>2</v>
      </c>
      <c r="L123" s="45">
        <v>1</v>
      </c>
      <c r="M123" s="45">
        <v>0.5</v>
      </c>
      <c r="N123" s="43">
        <v>765</v>
      </c>
      <c r="O123" s="43">
        <v>765</v>
      </c>
      <c r="P123" s="43"/>
      <c r="Q123" s="43">
        <v>2</v>
      </c>
    </row>
    <row r="124" spans="1:17" ht="100.9" customHeight="1" x14ac:dyDescent="0.25">
      <c r="A124" s="43" t="s">
        <v>878</v>
      </c>
      <c r="B124" s="43"/>
      <c r="C124" s="43"/>
      <c r="D124" s="43"/>
      <c r="E124" s="43"/>
      <c r="F124" s="43"/>
      <c r="G124" s="43"/>
      <c r="H124" s="43"/>
      <c r="I124" s="43"/>
      <c r="J124" s="43"/>
      <c r="K124" s="43">
        <v>6</v>
      </c>
      <c r="L124" s="45">
        <v>0.83299999999999996</v>
      </c>
      <c r="M124" s="45">
        <v>0.16700000000000001</v>
      </c>
      <c r="N124" s="43">
        <v>910</v>
      </c>
      <c r="O124" s="43">
        <v>919</v>
      </c>
      <c r="P124" s="43"/>
      <c r="Q124" s="43">
        <v>4</v>
      </c>
    </row>
    <row r="125" spans="1:17" ht="43.15" customHeight="1" x14ac:dyDescent="0.25">
      <c r="A125" s="43" t="s">
        <v>879</v>
      </c>
      <c r="B125" s="43"/>
      <c r="C125" s="43"/>
      <c r="D125" s="43"/>
      <c r="E125" s="43"/>
      <c r="F125" s="43"/>
      <c r="G125" s="43"/>
      <c r="H125" s="43"/>
      <c r="I125" s="43"/>
      <c r="J125" s="43"/>
      <c r="K125" s="43">
        <v>1</v>
      </c>
      <c r="L125" s="45">
        <v>1</v>
      </c>
      <c r="M125" s="45">
        <v>0</v>
      </c>
      <c r="N125" s="43">
        <v>949</v>
      </c>
      <c r="O125" s="43">
        <v>949</v>
      </c>
      <c r="P125" s="43"/>
      <c r="Q125" s="43">
        <v>2</v>
      </c>
    </row>
    <row r="126" spans="1:17" ht="43.15" customHeight="1" x14ac:dyDescent="0.25">
      <c r="A126" s="46" t="s">
        <v>863</v>
      </c>
      <c r="B126" s="46">
        <v>1390</v>
      </c>
      <c r="C126" s="47">
        <v>0.71899999999999997</v>
      </c>
      <c r="D126" s="47">
        <v>0.13100000000000001</v>
      </c>
      <c r="E126" s="46">
        <v>1107</v>
      </c>
      <c r="F126" s="47">
        <v>0.71699999999999997</v>
      </c>
      <c r="G126" s="47">
        <v>0.14199999999999999</v>
      </c>
      <c r="H126" s="46">
        <v>1068</v>
      </c>
      <c r="I126" s="47">
        <v>0.71899999999999997</v>
      </c>
      <c r="J126" s="47">
        <v>0.14399999999999999</v>
      </c>
      <c r="K126" s="46">
        <v>130</v>
      </c>
      <c r="L126" s="46"/>
      <c r="M126" s="46"/>
      <c r="N126" s="43"/>
      <c r="O126" s="43"/>
      <c r="P126" s="43"/>
      <c r="Q126" s="46">
        <v>128</v>
      </c>
    </row>
    <row r="127" spans="1:17" x14ac:dyDescent="0.25">
      <c r="A127" s="96" t="s">
        <v>557</v>
      </c>
      <c r="B127" s="94"/>
      <c r="C127" s="94"/>
      <c r="D127" s="94"/>
      <c r="E127" s="94"/>
      <c r="F127" s="94"/>
      <c r="G127" s="94"/>
      <c r="H127" s="94"/>
      <c r="I127" s="94"/>
      <c r="J127" s="94"/>
      <c r="K127" s="94"/>
      <c r="L127" s="94"/>
      <c r="M127" s="94"/>
      <c r="N127" s="94"/>
      <c r="O127" s="94"/>
      <c r="P127" s="94"/>
      <c r="Q127" s="94"/>
    </row>
    <row r="128" spans="1:17" x14ac:dyDescent="0.25">
      <c r="A128" s="94"/>
      <c r="B128" s="94"/>
      <c r="C128" s="94"/>
      <c r="D128" s="94"/>
      <c r="E128" s="94"/>
      <c r="F128" s="94"/>
      <c r="G128" s="94"/>
      <c r="H128" s="94"/>
      <c r="I128" s="94"/>
      <c r="J128" s="94"/>
      <c r="K128" s="94"/>
      <c r="L128" s="94"/>
      <c r="M128" s="94"/>
      <c r="N128" s="94"/>
      <c r="O128" s="94"/>
      <c r="P128" s="94"/>
      <c r="Q128" s="94"/>
    </row>
    <row r="129" spans="1:17" ht="14.45" customHeight="1" x14ac:dyDescent="0.25">
      <c r="A129" s="95" t="s">
        <v>20</v>
      </c>
      <c r="B129" s="93" t="s">
        <v>21</v>
      </c>
      <c r="C129" s="94"/>
      <c r="D129" s="94"/>
      <c r="E129" s="93" t="s">
        <v>22</v>
      </c>
      <c r="F129" s="94"/>
      <c r="G129" s="94"/>
      <c r="H129" s="93" t="s">
        <v>23</v>
      </c>
      <c r="I129" s="94"/>
      <c r="J129" s="94"/>
      <c r="K129" s="93" t="s">
        <v>24</v>
      </c>
      <c r="L129" s="94"/>
      <c r="M129" s="94"/>
      <c r="N129" s="94"/>
      <c r="O129" s="94"/>
      <c r="P129" s="93" t="s">
        <v>25</v>
      </c>
      <c r="Q129" s="93" t="s">
        <v>26</v>
      </c>
    </row>
    <row r="130" spans="1:17" x14ac:dyDescent="0.25">
      <c r="A130" s="94"/>
      <c r="B130" s="43" t="s">
        <v>27</v>
      </c>
      <c r="C130" s="43" t="s">
        <v>28</v>
      </c>
      <c r="D130" s="44">
        <v>46058</v>
      </c>
      <c r="E130" s="43" t="s">
        <v>27</v>
      </c>
      <c r="F130" s="43" t="s">
        <v>28</v>
      </c>
      <c r="G130" s="44">
        <v>46058</v>
      </c>
      <c r="H130" s="43" t="s">
        <v>27</v>
      </c>
      <c r="I130" s="43" t="s">
        <v>28</v>
      </c>
      <c r="J130" s="44">
        <v>46058</v>
      </c>
      <c r="K130" s="43" t="s">
        <v>27</v>
      </c>
      <c r="L130" s="43" t="s">
        <v>28</v>
      </c>
      <c r="M130" s="44">
        <v>46058</v>
      </c>
      <c r="N130" s="43" t="s">
        <v>29</v>
      </c>
      <c r="O130" s="43" t="s">
        <v>30</v>
      </c>
      <c r="P130" s="94"/>
      <c r="Q130" s="94"/>
    </row>
    <row r="131" spans="1:17" ht="43.15" customHeight="1" x14ac:dyDescent="0.25">
      <c r="A131" s="43" t="s">
        <v>880</v>
      </c>
      <c r="B131" s="43">
        <v>1114</v>
      </c>
      <c r="C131" s="45">
        <v>0.61099999999999999</v>
      </c>
      <c r="D131" s="45">
        <v>9.0999999999999998E-2</v>
      </c>
      <c r="E131" s="43">
        <v>1022</v>
      </c>
      <c r="F131" s="45">
        <v>0.60699999999999998</v>
      </c>
      <c r="G131" s="45">
        <v>9.1999999999999998E-2</v>
      </c>
      <c r="H131" s="43">
        <v>691</v>
      </c>
      <c r="I131" s="45">
        <v>0.59599999999999997</v>
      </c>
      <c r="J131" s="45">
        <v>0.10100000000000001</v>
      </c>
      <c r="K131" s="43">
        <v>20</v>
      </c>
      <c r="L131" s="45">
        <v>0.6</v>
      </c>
      <c r="M131" s="45">
        <v>0.1</v>
      </c>
      <c r="N131" s="43">
        <v>404</v>
      </c>
      <c r="O131" s="43">
        <v>379</v>
      </c>
      <c r="P131" s="43"/>
      <c r="Q131" s="43">
        <v>18</v>
      </c>
    </row>
    <row r="132" spans="1:17" ht="72" customHeight="1" x14ac:dyDescent="0.25">
      <c r="A132" s="43" t="s">
        <v>881</v>
      </c>
      <c r="B132" s="43">
        <v>1114</v>
      </c>
      <c r="C132" s="45">
        <v>0.61099999999999999</v>
      </c>
      <c r="D132" s="45">
        <v>9.0999999999999998E-2</v>
      </c>
      <c r="E132" s="43">
        <v>1022</v>
      </c>
      <c r="F132" s="45">
        <v>0.60699999999999998</v>
      </c>
      <c r="G132" s="45">
        <v>9.1999999999999998E-2</v>
      </c>
      <c r="H132" s="43">
        <v>691</v>
      </c>
      <c r="I132" s="45">
        <v>0.59599999999999997</v>
      </c>
      <c r="J132" s="45">
        <v>0.10100000000000001</v>
      </c>
      <c r="K132" s="43">
        <v>3</v>
      </c>
      <c r="L132" s="45">
        <v>0.66700000000000004</v>
      </c>
      <c r="M132" s="45">
        <v>0.33300000000000002</v>
      </c>
      <c r="N132" s="43">
        <v>17</v>
      </c>
      <c r="O132" s="43">
        <v>26</v>
      </c>
      <c r="P132" s="43"/>
      <c r="Q132" s="43">
        <v>3</v>
      </c>
    </row>
    <row r="133" spans="1:17" ht="115.15" customHeight="1" x14ac:dyDescent="0.25">
      <c r="A133" s="43" t="s">
        <v>882</v>
      </c>
      <c r="B133" s="43">
        <v>1114</v>
      </c>
      <c r="C133" s="45">
        <v>0.61099999999999999</v>
      </c>
      <c r="D133" s="45">
        <v>9.0999999999999998E-2</v>
      </c>
      <c r="E133" s="43">
        <v>1022</v>
      </c>
      <c r="F133" s="45">
        <v>0.60699999999999998</v>
      </c>
      <c r="G133" s="45">
        <v>9.1999999999999998E-2</v>
      </c>
      <c r="H133" s="43">
        <v>691</v>
      </c>
      <c r="I133" s="45">
        <v>0.59599999999999997</v>
      </c>
      <c r="J133" s="45">
        <v>0.10100000000000001</v>
      </c>
      <c r="K133" s="43">
        <v>5</v>
      </c>
      <c r="L133" s="45">
        <v>0</v>
      </c>
      <c r="M133" s="45">
        <v>0.4</v>
      </c>
      <c r="N133" s="43">
        <v>637</v>
      </c>
      <c r="O133" s="43">
        <v>607</v>
      </c>
      <c r="P133" s="43"/>
      <c r="Q133" s="43">
        <v>4</v>
      </c>
    </row>
    <row r="134" spans="1:17" ht="129.6" customHeight="1" x14ac:dyDescent="0.25">
      <c r="A134" s="43" t="s">
        <v>883</v>
      </c>
      <c r="B134" s="43"/>
      <c r="C134" s="43"/>
      <c r="D134" s="43"/>
      <c r="E134" s="43"/>
      <c r="F134" s="43"/>
      <c r="G134" s="43"/>
      <c r="H134" s="43"/>
      <c r="I134" s="43"/>
      <c r="J134" s="43"/>
      <c r="K134" s="43">
        <v>6</v>
      </c>
      <c r="L134" s="45">
        <v>0.33300000000000002</v>
      </c>
      <c r="M134" s="45">
        <v>0</v>
      </c>
      <c r="N134" s="43">
        <v>401</v>
      </c>
      <c r="O134" s="43">
        <v>366</v>
      </c>
      <c r="P134" s="43"/>
      <c r="Q134" s="43">
        <v>5</v>
      </c>
    </row>
    <row r="135" spans="1:17" ht="129.6" customHeight="1" x14ac:dyDescent="0.25">
      <c r="A135" s="43" t="s">
        <v>38</v>
      </c>
      <c r="B135" s="43"/>
      <c r="C135" s="43"/>
      <c r="D135" s="43"/>
      <c r="E135" s="43"/>
      <c r="F135" s="43"/>
      <c r="G135" s="43"/>
      <c r="H135" s="43"/>
      <c r="I135" s="43"/>
      <c r="J135" s="43"/>
      <c r="K135" s="43">
        <v>18</v>
      </c>
      <c r="L135" s="45">
        <v>0.38900000000000001</v>
      </c>
      <c r="M135" s="45">
        <v>0.111</v>
      </c>
      <c r="N135" s="43">
        <v>297</v>
      </c>
      <c r="O135" s="43">
        <v>273</v>
      </c>
      <c r="P135" s="43"/>
      <c r="Q135" s="43">
        <v>20</v>
      </c>
    </row>
    <row r="136" spans="1:17" ht="144" customHeight="1" x14ac:dyDescent="0.25">
      <c r="A136" s="43" t="s">
        <v>884</v>
      </c>
      <c r="B136" s="43"/>
      <c r="C136" s="43"/>
      <c r="D136" s="43"/>
      <c r="E136" s="43"/>
      <c r="F136" s="43"/>
      <c r="G136" s="43"/>
      <c r="H136" s="43"/>
      <c r="I136" s="43"/>
      <c r="J136" s="43"/>
      <c r="K136" s="43">
        <v>8</v>
      </c>
      <c r="L136" s="45">
        <v>0.625</v>
      </c>
      <c r="M136" s="45">
        <v>0</v>
      </c>
      <c r="N136" s="43">
        <v>188</v>
      </c>
      <c r="O136" s="43">
        <v>213</v>
      </c>
      <c r="P136" s="43"/>
      <c r="Q136" s="43">
        <v>8</v>
      </c>
    </row>
    <row r="137" spans="1:17" ht="43.15" customHeight="1" x14ac:dyDescent="0.25">
      <c r="A137" s="46" t="s">
        <v>885</v>
      </c>
      <c r="B137" s="46">
        <v>1114</v>
      </c>
      <c r="C137" s="47">
        <v>0.61099999999999999</v>
      </c>
      <c r="D137" s="47">
        <v>9.0999999999999998E-2</v>
      </c>
      <c r="E137" s="46">
        <v>1022</v>
      </c>
      <c r="F137" s="47">
        <v>0.60699999999999998</v>
      </c>
      <c r="G137" s="47">
        <v>9.1999999999999998E-2</v>
      </c>
      <c r="H137" s="46">
        <v>691</v>
      </c>
      <c r="I137" s="47">
        <v>0.59599999999999997</v>
      </c>
      <c r="J137" s="47">
        <v>0.10100000000000001</v>
      </c>
      <c r="K137" s="46">
        <v>32</v>
      </c>
      <c r="L137" s="46"/>
      <c r="M137" s="46"/>
      <c r="N137" s="43"/>
      <c r="O137" s="43"/>
      <c r="P137" s="43"/>
      <c r="Q137" s="46">
        <v>33</v>
      </c>
    </row>
    <row r="138" spans="1:17" ht="30" x14ac:dyDescent="0.25">
      <c r="A138" s="43" t="s">
        <v>886</v>
      </c>
      <c r="B138" s="43">
        <v>1114</v>
      </c>
      <c r="C138" s="45">
        <v>0.61099999999999999</v>
      </c>
      <c r="D138" s="45">
        <v>9.0999999999999998E-2</v>
      </c>
      <c r="E138" s="43">
        <v>1022</v>
      </c>
      <c r="F138" s="45">
        <v>0.60699999999999998</v>
      </c>
      <c r="G138" s="45">
        <v>9.1999999999999998E-2</v>
      </c>
      <c r="H138" s="43">
        <v>691</v>
      </c>
      <c r="I138" s="45">
        <v>0.59599999999999997</v>
      </c>
      <c r="J138" s="45">
        <v>0.10100000000000001</v>
      </c>
      <c r="K138" s="43">
        <v>71</v>
      </c>
      <c r="L138" s="45">
        <v>0.42299999999999999</v>
      </c>
      <c r="M138" s="45">
        <v>5.6000000000000001E-2</v>
      </c>
      <c r="N138" s="43">
        <v>190</v>
      </c>
      <c r="O138" s="43">
        <v>187</v>
      </c>
      <c r="P138" s="43"/>
      <c r="Q138" s="43">
        <v>70</v>
      </c>
    </row>
    <row r="139" spans="1:17" ht="57.6" customHeight="1" x14ac:dyDescent="0.25">
      <c r="A139" s="43" t="s">
        <v>887</v>
      </c>
      <c r="B139" s="43"/>
      <c r="C139" s="43"/>
      <c r="D139" s="43"/>
      <c r="E139" s="43"/>
      <c r="F139" s="43"/>
      <c r="G139" s="43"/>
      <c r="H139" s="43"/>
      <c r="I139" s="43"/>
      <c r="J139" s="43"/>
      <c r="K139" s="43">
        <v>4</v>
      </c>
      <c r="L139" s="45">
        <v>0.5</v>
      </c>
      <c r="M139" s="45">
        <v>0</v>
      </c>
      <c r="N139" s="43">
        <v>544</v>
      </c>
      <c r="O139" s="43">
        <v>551</v>
      </c>
      <c r="P139" s="43"/>
      <c r="Q139" s="43">
        <v>3</v>
      </c>
    </row>
    <row r="140" spans="1:17" ht="86.45" customHeight="1" x14ac:dyDescent="0.25">
      <c r="A140" s="43" t="s">
        <v>888</v>
      </c>
      <c r="B140" s="43"/>
      <c r="C140" s="43"/>
      <c r="D140" s="43"/>
      <c r="E140" s="43"/>
      <c r="F140" s="43"/>
      <c r="G140" s="43"/>
      <c r="H140" s="43"/>
      <c r="I140" s="43"/>
      <c r="J140" s="43"/>
      <c r="K140" s="43">
        <v>2</v>
      </c>
      <c r="L140" s="45">
        <v>0.5</v>
      </c>
      <c r="M140" s="45">
        <v>0</v>
      </c>
      <c r="N140" s="43">
        <v>366</v>
      </c>
      <c r="O140" s="43">
        <v>366</v>
      </c>
      <c r="P140" s="43"/>
      <c r="Q140" s="43">
        <v>4</v>
      </c>
    </row>
    <row r="141" spans="1:17" ht="57.6" customHeight="1" x14ac:dyDescent="0.25">
      <c r="A141" s="46" t="s">
        <v>889</v>
      </c>
      <c r="B141" s="46">
        <v>1114</v>
      </c>
      <c r="C141" s="47">
        <v>0.61099999999999999</v>
      </c>
      <c r="D141" s="47">
        <v>9.0999999999999998E-2</v>
      </c>
      <c r="E141" s="46">
        <v>1022</v>
      </c>
      <c r="F141" s="47">
        <v>0.60699999999999998</v>
      </c>
      <c r="G141" s="47">
        <v>9.1999999999999998E-2</v>
      </c>
      <c r="H141" s="46">
        <v>691</v>
      </c>
      <c r="I141" s="47">
        <v>0.59599999999999997</v>
      </c>
      <c r="J141" s="47">
        <v>0.10100000000000001</v>
      </c>
      <c r="K141" s="46">
        <v>6</v>
      </c>
      <c r="L141" s="46"/>
      <c r="M141" s="46"/>
      <c r="N141" s="43"/>
      <c r="O141" s="43"/>
      <c r="P141" s="43"/>
      <c r="Q141" s="46">
        <v>7</v>
      </c>
    </row>
    <row r="142" spans="1:17" ht="57.6" customHeight="1" x14ac:dyDescent="0.25">
      <c r="A142" s="43" t="s">
        <v>890</v>
      </c>
      <c r="B142" s="43"/>
      <c r="C142" s="43"/>
      <c r="D142" s="43"/>
      <c r="E142" s="43"/>
      <c r="F142" s="43"/>
      <c r="G142" s="43"/>
      <c r="H142" s="43"/>
      <c r="I142" s="43"/>
      <c r="J142" s="43"/>
      <c r="K142" s="43">
        <v>7</v>
      </c>
      <c r="L142" s="45">
        <v>0.71399999999999997</v>
      </c>
      <c r="M142" s="45">
        <v>0</v>
      </c>
      <c r="N142" s="43">
        <v>640</v>
      </c>
      <c r="O142" s="43">
        <v>634</v>
      </c>
      <c r="P142" s="43"/>
      <c r="Q142" s="43">
        <v>8</v>
      </c>
    </row>
    <row r="143" spans="1:17" ht="72" customHeight="1" x14ac:dyDescent="0.25">
      <c r="A143" s="43" t="s">
        <v>891</v>
      </c>
      <c r="B143" s="43"/>
      <c r="C143" s="43"/>
      <c r="D143" s="43"/>
      <c r="E143" s="43"/>
      <c r="F143" s="43"/>
      <c r="G143" s="43"/>
      <c r="H143" s="43"/>
      <c r="I143" s="43"/>
      <c r="J143" s="43"/>
      <c r="K143" s="43">
        <v>11</v>
      </c>
      <c r="L143" s="45">
        <v>0.54500000000000004</v>
      </c>
      <c r="M143" s="45">
        <v>0.182</v>
      </c>
      <c r="N143" s="43">
        <v>604</v>
      </c>
      <c r="O143" s="43">
        <v>586</v>
      </c>
      <c r="P143" s="43"/>
      <c r="Q143" s="43">
        <v>8</v>
      </c>
    </row>
    <row r="144" spans="1:17" ht="43.15" customHeight="1" x14ac:dyDescent="0.25">
      <c r="A144" s="46" t="s">
        <v>892</v>
      </c>
      <c r="B144" s="46">
        <v>1114</v>
      </c>
      <c r="C144" s="47">
        <v>0.61099999999999999</v>
      </c>
      <c r="D144" s="47">
        <v>9.0999999999999998E-2</v>
      </c>
      <c r="E144" s="46">
        <v>1022</v>
      </c>
      <c r="F144" s="47">
        <v>0.60699999999999998</v>
      </c>
      <c r="G144" s="47">
        <v>9.1999999999999998E-2</v>
      </c>
      <c r="H144" s="46">
        <v>691</v>
      </c>
      <c r="I144" s="47">
        <v>0.59599999999999997</v>
      </c>
      <c r="J144" s="47">
        <v>0.10100000000000001</v>
      </c>
      <c r="K144" s="46">
        <v>18</v>
      </c>
      <c r="L144" s="46"/>
      <c r="M144" s="46"/>
      <c r="N144" s="43"/>
      <c r="O144" s="43"/>
      <c r="P144" s="43"/>
      <c r="Q144" s="46">
        <v>16</v>
      </c>
    </row>
    <row r="145" spans="1:17" ht="72" customHeight="1" x14ac:dyDescent="0.25">
      <c r="A145" s="43" t="s">
        <v>893</v>
      </c>
      <c r="B145" s="43"/>
      <c r="C145" s="43"/>
      <c r="D145" s="43"/>
      <c r="E145" s="43"/>
      <c r="F145" s="43"/>
      <c r="G145" s="43"/>
      <c r="H145" s="43"/>
      <c r="I145" s="43"/>
      <c r="J145" s="43"/>
      <c r="K145" s="43">
        <v>0</v>
      </c>
      <c r="L145" s="45">
        <v>0</v>
      </c>
      <c r="M145" s="45">
        <v>0</v>
      </c>
      <c r="N145" s="43">
        <v>0</v>
      </c>
      <c r="O145" s="43">
        <v>0</v>
      </c>
      <c r="P145" s="43"/>
      <c r="Q145" s="43">
        <v>3</v>
      </c>
    </row>
    <row r="146" spans="1:17" ht="100.9" customHeight="1" x14ac:dyDescent="0.25">
      <c r="A146" s="43" t="s">
        <v>894</v>
      </c>
      <c r="B146" s="43"/>
      <c r="C146" s="43"/>
      <c r="D146" s="43"/>
      <c r="E146" s="43"/>
      <c r="F146" s="43"/>
      <c r="G146" s="43"/>
      <c r="H146" s="43"/>
      <c r="I146" s="43"/>
      <c r="J146" s="43"/>
      <c r="K146" s="43">
        <v>7</v>
      </c>
      <c r="L146" s="45">
        <v>0.85699999999999998</v>
      </c>
      <c r="M146" s="45">
        <v>0.14299999999999999</v>
      </c>
      <c r="N146" s="43">
        <v>612</v>
      </c>
      <c r="O146" s="43">
        <v>606</v>
      </c>
      <c r="P146" s="43"/>
      <c r="Q146" s="43">
        <v>6</v>
      </c>
    </row>
    <row r="147" spans="1:17" ht="43.15" customHeight="1" x14ac:dyDescent="0.25">
      <c r="A147" s="46" t="s">
        <v>895</v>
      </c>
      <c r="B147" s="46">
        <v>1114</v>
      </c>
      <c r="C147" s="47">
        <v>0.61099999999999999</v>
      </c>
      <c r="D147" s="47">
        <v>9.0999999999999998E-2</v>
      </c>
      <c r="E147" s="46">
        <v>1022</v>
      </c>
      <c r="F147" s="47">
        <v>0.60699999999999998</v>
      </c>
      <c r="G147" s="47">
        <v>9.1999999999999998E-2</v>
      </c>
      <c r="H147" s="46">
        <v>691</v>
      </c>
      <c r="I147" s="47">
        <v>0.59599999999999997</v>
      </c>
      <c r="J147" s="47">
        <v>0.10100000000000001</v>
      </c>
      <c r="K147" s="46">
        <v>7</v>
      </c>
      <c r="L147" s="46"/>
      <c r="M147" s="46"/>
      <c r="N147" s="43"/>
      <c r="O147" s="43"/>
      <c r="P147" s="43"/>
      <c r="Q147" s="46">
        <v>9</v>
      </c>
    </row>
    <row r="148" spans="1:17" ht="28.9" customHeight="1" x14ac:dyDescent="0.25">
      <c r="A148" s="43" t="s">
        <v>896</v>
      </c>
      <c r="B148" s="43">
        <v>1114</v>
      </c>
      <c r="C148" s="45">
        <v>0.61099999999999999</v>
      </c>
      <c r="D148" s="45">
        <v>9.0999999999999998E-2</v>
      </c>
      <c r="E148" s="43">
        <v>1022</v>
      </c>
      <c r="F148" s="45">
        <v>0.60699999999999998</v>
      </c>
      <c r="G148" s="45">
        <v>9.1999999999999998E-2</v>
      </c>
      <c r="H148" s="43">
        <v>691</v>
      </c>
      <c r="I148" s="45">
        <v>0.59599999999999997</v>
      </c>
      <c r="J148" s="45">
        <v>0.10100000000000001</v>
      </c>
      <c r="K148" s="43">
        <v>20</v>
      </c>
      <c r="L148" s="45">
        <v>0.45</v>
      </c>
      <c r="M148" s="45">
        <v>0.05</v>
      </c>
      <c r="N148" s="43">
        <v>467</v>
      </c>
      <c r="O148" s="43">
        <v>457</v>
      </c>
      <c r="P148" s="43"/>
      <c r="Q148" s="43">
        <v>23</v>
      </c>
    </row>
    <row r="149" spans="1:17" ht="57.6" customHeight="1" x14ac:dyDescent="0.25">
      <c r="A149" s="43" t="s">
        <v>897</v>
      </c>
      <c r="B149" s="43"/>
      <c r="C149" s="43"/>
      <c r="D149" s="43"/>
      <c r="E149" s="43"/>
      <c r="F149" s="43"/>
      <c r="G149" s="43"/>
      <c r="H149" s="43"/>
      <c r="I149" s="43"/>
      <c r="J149" s="43"/>
      <c r="K149" s="43">
        <v>2</v>
      </c>
      <c r="L149" s="45">
        <v>0.5</v>
      </c>
      <c r="M149" s="45">
        <v>0</v>
      </c>
      <c r="N149" s="43">
        <v>629</v>
      </c>
      <c r="O149" s="43">
        <v>629</v>
      </c>
      <c r="P149" s="43"/>
      <c r="Q149" s="43">
        <v>3</v>
      </c>
    </row>
    <row r="150" spans="1:17" ht="28.9" customHeight="1" x14ac:dyDescent="0.25">
      <c r="A150" s="43" t="s">
        <v>898</v>
      </c>
      <c r="B150" s="43"/>
      <c r="C150" s="43"/>
      <c r="D150" s="43"/>
      <c r="E150" s="43"/>
      <c r="F150" s="43"/>
      <c r="G150" s="43"/>
      <c r="H150" s="43"/>
      <c r="I150" s="43"/>
      <c r="J150" s="43"/>
      <c r="K150" s="43">
        <v>6</v>
      </c>
      <c r="L150" s="45">
        <v>0.66700000000000004</v>
      </c>
      <c r="M150" s="45">
        <v>0</v>
      </c>
      <c r="N150" s="43">
        <v>539</v>
      </c>
      <c r="O150" s="43">
        <v>424</v>
      </c>
      <c r="P150" s="43"/>
      <c r="Q150" s="43">
        <v>5</v>
      </c>
    </row>
    <row r="151" spans="1:17" ht="43.15" customHeight="1" x14ac:dyDescent="0.25">
      <c r="A151" s="46" t="s">
        <v>899</v>
      </c>
      <c r="B151" s="46">
        <v>1114</v>
      </c>
      <c r="C151" s="47">
        <v>0.61099999999999999</v>
      </c>
      <c r="D151" s="47">
        <v>9.0999999999999998E-2</v>
      </c>
      <c r="E151" s="46">
        <v>1022</v>
      </c>
      <c r="F151" s="47">
        <v>0.60699999999999998</v>
      </c>
      <c r="G151" s="47">
        <v>9.1999999999999998E-2</v>
      </c>
      <c r="H151" s="46">
        <v>691</v>
      </c>
      <c r="I151" s="47">
        <v>0.59599999999999997</v>
      </c>
      <c r="J151" s="47">
        <v>0.10100000000000001</v>
      </c>
      <c r="K151" s="46">
        <v>8</v>
      </c>
      <c r="L151" s="46"/>
      <c r="M151" s="46"/>
      <c r="N151" s="43"/>
      <c r="O151" s="43"/>
      <c r="P151" s="43"/>
      <c r="Q151" s="46">
        <v>8</v>
      </c>
    </row>
    <row r="152" spans="1:17" ht="43.15" customHeight="1" x14ac:dyDescent="0.25">
      <c r="A152" s="43" t="s">
        <v>900</v>
      </c>
      <c r="B152" s="43">
        <v>1114</v>
      </c>
      <c r="C152" s="45">
        <v>0.61099999999999999</v>
      </c>
      <c r="D152" s="45">
        <v>9.0999999999999998E-2</v>
      </c>
      <c r="E152" s="43">
        <v>1022</v>
      </c>
      <c r="F152" s="45">
        <v>0.60699999999999998</v>
      </c>
      <c r="G152" s="45">
        <v>9.1999999999999998E-2</v>
      </c>
      <c r="H152" s="43">
        <v>691</v>
      </c>
      <c r="I152" s="45">
        <v>0.59599999999999997</v>
      </c>
      <c r="J152" s="45">
        <v>0.10100000000000001</v>
      </c>
      <c r="K152" s="43">
        <v>26</v>
      </c>
      <c r="L152" s="45">
        <v>0.53800000000000003</v>
      </c>
      <c r="M152" s="45">
        <v>0.192</v>
      </c>
      <c r="N152" s="43">
        <v>411</v>
      </c>
      <c r="O152" s="43">
        <v>400</v>
      </c>
      <c r="P152" s="43"/>
      <c r="Q152" s="43">
        <v>26</v>
      </c>
    </row>
    <row r="153" spans="1:17" ht="28.9" customHeight="1" x14ac:dyDescent="0.25">
      <c r="A153" s="43" t="s">
        <v>750</v>
      </c>
      <c r="B153" s="43">
        <v>1114</v>
      </c>
      <c r="C153" s="45">
        <v>0.61099999999999999</v>
      </c>
      <c r="D153" s="45">
        <v>9.0999999999999998E-2</v>
      </c>
      <c r="E153" s="43">
        <v>1022</v>
      </c>
      <c r="F153" s="45">
        <v>0.60699999999999998</v>
      </c>
      <c r="G153" s="45">
        <v>9.1999999999999998E-2</v>
      </c>
      <c r="H153" s="43">
        <v>691</v>
      </c>
      <c r="I153" s="45">
        <v>0.59599999999999997</v>
      </c>
      <c r="J153" s="45">
        <v>0.10100000000000001</v>
      </c>
      <c r="K153" s="43">
        <v>14</v>
      </c>
      <c r="L153" s="45">
        <v>0.57099999999999995</v>
      </c>
      <c r="M153" s="45">
        <v>0</v>
      </c>
      <c r="N153" s="43">
        <v>205</v>
      </c>
      <c r="O153" s="43">
        <v>208</v>
      </c>
      <c r="P153" s="43"/>
      <c r="Q153" s="43">
        <v>13</v>
      </c>
    </row>
    <row r="154" spans="1:17" ht="28.9" customHeight="1" x14ac:dyDescent="0.25">
      <c r="A154" s="43" t="s">
        <v>901</v>
      </c>
      <c r="B154" s="43">
        <v>1114</v>
      </c>
      <c r="C154" s="45">
        <v>0.61099999999999999</v>
      </c>
      <c r="D154" s="45">
        <v>9.0999999999999998E-2</v>
      </c>
      <c r="E154" s="43">
        <v>1022</v>
      </c>
      <c r="F154" s="45">
        <v>0.60699999999999998</v>
      </c>
      <c r="G154" s="45">
        <v>9.1999999999999998E-2</v>
      </c>
      <c r="H154" s="43">
        <v>691</v>
      </c>
      <c r="I154" s="45">
        <v>0.59599999999999997</v>
      </c>
      <c r="J154" s="45">
        <v>0.10100000000000001</v>
      </c>
      <c r="K154" s="43">
        <v>3</v>
      </c>
      <c r="L154" s="45">
        <v>0.33300000000000002</v>
      </c>
      <c r="M154" s="45">
        <v>0</v>
      </c>
      <c r="N154" s="43">
        <v>683</v>
      </c>
      <c r="O154" s="43">
        <v>603</v>
      </c>
      <c r="P154" s="43"/>
      <c r="Q154" s="43">
        <v>5</v>
      </c>
    </row>
    <row r="155" spans="1:17" ht="28.9" customHeight="1" x14ac:dyDescent="0.25">
      <c r="A155" s="43" t="s">
        <v>706</v>
      </c>
      <c r="B155" s="43"/>
      <c r="C155" s="43"/>
      <c r="D155" s="43"/>
      <c r="E155" s="43"/>
      <c r="F155" s="43"/>
      <c r="G155" s="43"/>
      <c r="H155" s="43"/>
      <c r="I155" s="43"/>
      <c r="J155" s="43"/>
      <c r="K155" s="43">
        <v>7</v>
      </c>
      <c r="L155" s="45">
        <v>0.71399999999999997</v>
      </c>
      <c r="M155" s="45">
        <v>0.14299999999999999</v>
      </c>
      <c r="N155" s="43">
        <v>219</v>
      </c>
      <c r="O155" s="43">
        <v>233</v>
      </c>
      <c r="P155" s="43"/>
      <c r="Q155" s="43">
        <v>7</v>
      </c>
    </row>
    <row r="156" spans="1:17" ht="28.9" customHeight="1" x14ac:dyDescent="0.25">
      <c r="A156" s="43" t="s">
        <v>712</v>
      </c>
      <c r="B156" s="43"/>
      <c r="C156" s="43"/>
      <c r="D156" s="43"/>
      <c r="E156" s="43"/>
      <c r="F156" s="43"/>
      <c r="G156" s="43"/>
      <c r="H156" s="43"/>
      <c r="I156" s="43"/>
      <c r="J156" s="43"/>
      <c r="K156" s="43">
        <v>7</v>
      </c>
      <c r="L156" s="45">
        <v>0.28599999999999998</v>
      </c>
      <c r="M156" s="45">
        <v>0.14299999999999999</v>
      </c>
      <c r="N156" s="43">
        <v>137</v>
      </c>
      <c r="O156" s="43">
        <v>123</v>
      </c>
      <c r="P156" s="43"/>
      <c r="Q156" s="43">
        <v>6</v>
      </c>
    </row>
    <row r="157" spans="1:17" ht="28.9" customHeight="1" x14ac:dyDescent="0.25">
      <c r="A157" s="43" t="s">
        <v>902</v>
      </c>
      <c r="B157" s="43"/>
      <c r="C157" s="43"/>
      <c r="D157" s="43"/>
      <c r="E157" s="43"/>
      <c r="F157" s="43"/>
      <c r="G157" s="43"/>
      <c r="H157" s="43"/>
      <c r="I157" s="43"/>
      <c r="J157" s="43"/>
      <c r="K157" s="43">
        <v>5</v>
      </c>
      <c r="L157" s="45">
        <v>0.4</v>
      </c>
      <c r="M157" s="45">
        <v>0.2</v>
      </c>
      <c r="N157" s="43">
        <v>150</v>
      </c>
      <c r="O157" s="43">
        <v>155</v>
      </c>
      <c r="P157" s="43"/>
      <c r="Q157" s="43">
        <v>4</v>
      </c>
    </row>
    <row r="158" spans="1:17" ht="57.6" customHeight="1" x14ac:dyDescent="0.25">
      <c r="A158" s="46" t="s">
        <v>903</v>
      </c>
      <c r="B158" s="46">
        <v>1114</v>
      </c>
      <c r="C158" s="47">
        <v>0.61099999999999999</v>
      </c>
      <c r="D158" s="47">
        <v>9.0999999999999998E-2</v>
      </c>
      <c r="E158" s="46">
        <v>1022</v>
      </c>
      <c r="F158" s="47">
        <v>0.60699999999999998</v>
      </c>
      <c r="G158" s="47">
        <v>9.1999999999999998E-2</v>
      </c>
      <c r="H158" s="46">
        <v>691</v>
      </c>
      <c r="I158" s="47">
        <v>0.59599999999999997</v>
      </c>
      <c r="J158" s="47">
        <v>0.10100000000000001</v>
      </c>
      <c r="K158" s="46">
        <v>19</v>
      </c>
      <c r="L158" s="46"/>
      <c r="M158" s="46"/>
      <c r="N158" s="43"/>
      <c r="O158" s="43"/>
      <c r="P158" s="43"/>
      <c r="Q158" s="46">
        <v>17</v>
      </c>
    </row>
    <row r="159" spans="1:17" x14ac:dyDescent="0.25">
      <c r="A159" s="96" t="s">
        <v>46</v>
      </c>
      <c r="B159" s="94"/>
      <c r="C159" s="94"/>
      <c r="D159" s="94"/>
      <c r="E159" s="94"/>
      <c r="F159" s="94"/>
      <c r="G159" s="94"/>
      <c r="H159" s="94"/>
      <c r="I159" s="94"/>
      <c r="J159" s="94"/>
      <c r="K159" s="94"/>
      <c r="L159" s="94"/>
      <c r="M159" s="94"/>
      <c r="N159" s="94"/>
      <c r="O159" s="94"/>
      <c r="P159" s="94"/>
      <c r="Q159" s="94"/>
    </row>
    <row r="160" spans="1:17" x14ac:dyDescent="0.25">
      <c r="A160" s="94"/>
      <c r="B160" s="94"/>
      <c r="C160" s="94"/>
      <c r="D160" s="94"/>
      <c r="E160" s="94"/>
      <c r="F160" s="94"/>
      <c r="G160" s="94"/>
      <c r="H160" s="94"/>
      <c r="I160" s="94"/>
      <c r="J160" s="94"/>
      <c r="K160" s="94"/>
      <c r="L160" s="94"/>
      <c r="M160" s="94"/>
      <c r="N160" s="94"/>
      <c r="O160" s="94"/>
      <c r="P160" s="94"/>
      <c r="Q160" s="94"/>
    </row>
    <row r="161" spans="1:17" ht="14.45" customHeight="1" x14ac:dyDescent="0.25">
      <c r="A161" s="95" t="s">
        <v>20</v>
      </c>
      <c r="B161" s="93" t="s">
        <v>21</v>
      </c>
      <c r="C161" s="94"/>
      <c r="D161" s="94"/>
      <c r="E161" s="93" t="s">
        <v>22</v>
      </c>
      <c r="F161" s="94"/>
      <c r="G161" s="94"/>
      <c r="H161" s="93" t="s">
        <v>23</v>
      </c>
      <c r="I161" s="94"/>
      <c r="J161" s="94"/>
      <c r="K161" s="93" t="s">
        <v>24</v>
      </c>
      <c r="L161" s="94"/>
      <c r="M161" s="94"/>
      <c r="N161" s="94"/>
      <c r="O161" s="94"/>
      <c r="P161" s="93" t="s">
        <v>25</v>
      </c>
      <c r="Q161" s="93" t="s">
        <v>26</v>
      </c>
    </row>
    <row r="162" spans="1:17" x14ac:dyDescent="0.25">
      <c r="A162" s="94"/>
      <c r="B162" s="43" t="s">
        <v>27</v>
      </c>
      <c r="C162" s="43" t="s">
        <v>28</v>
      </c>
      <c r="D162" s="44">
        <v>46058</v>
      </c>
      <c r="E162" s="43" t="s">
        <v>27</v>
      </c>
      <c r="F162" s="43" t="s">
        <v>28</v>
      </c>
      <c r="G162" s="44">
        <v>46058</v>
      </c>
      <c r="H162" s="43" t="s">
        <v>27</v>
      </c>
      <c r="I162" s="43" t="s">
        <v>28</v>
      </c>
      <c r="J162" s="44">
        <v>46058</v>
      </c>
      <c r="K162" s="43" t="s">
        <v>27</v>
      </c>
      <c r="L162" s="43" t="s">
        <v>28</v>
      </c>
      <c r="M162" s="44">
        <v>46058</v>
      </c>
      <c r="N162" s="43" t="s">
        <v>29</v>
      </c>
      <c r="O162" s="43" t="s">
        <v>30</v>
      </c>
      <c r="P162" s="94"/>
      <c r="Q162" s="94"/>
    </row>
    <row r="163" spans="1:17" ht="28.9" customHeight="1" x14ac:dyDescent="0.25">
      <c r="A163" s="43" t="s">
        <v>46</v>
      </c>
      <c r="B163" s="43">
        <v>304</v>
      </c>
      <c r="C163" s="45">
        <v>0.61799999999999999</v>
      </c>
      <c r="D163" s="45">
        <v>8.2000000000000003E-2</v>
      </c>
      <c r="E163" s="43">
        <v>254</v>
      </c>
      <c r="F163" s="45">
        <v>0.622</v>
      </c>
      <c r="G163" s="45">
        <v>9.8000000000000004E-2</v>
      </c>
      <c r="H163" s="43">
        <v>52</v>
      </c>
      <c r="I163" s="45">
        <v>0.55800000000000005</v>
      </c>
      <c r="J163" s="45">
        <v>0.154</v>
      </c>
      <c r="K163" s="43">
        <v>11</v>
      </c>
      <c r="L163" s="45">
        <v>0.54500000000000004</v>
      </c>
      <c r="M163" s="45">
        <v>0.182</v>
      </c>
      <c r="N163" s="43">
        <v>30</v>
      </c>
      <c r="O163" s="43">
        <v>30</v>
      </c>
      <c r="P163" s="43"/>
      <c r="Q163" s="43">
        <v>13</v>
      </c>
    </row>
    <row r="164" spans="1:17" x14ac:dyDescent="0.25">
      <c r="A164" s="96" t="s">
        <v>69</v>
      </c>
      <c r="B164" s="94"/>
      <c r="C164" s="94"/>
      <c r="D164" s="94"/>
      <c r="E164" s="94"/>
      <c r="F164" s="94"/>
      <c r="G164" s="94"/>
      <c r="H164" s="94"/>
      <c r="I164" s="94"/>
      <c r="J164" s="94"/>
      <c r="K164" s="94"/>
      <c r="L164" s="94"/>
      <c r="M164" s="94"/>
      <c r="N164" s="94"/>
      <c r="O164" s="94"/>
      <c r="P164" s="94"/>
      <c r="Q164" s="94"/>
    </row>
    <row r="165" spans="1:17" x14ac:dyDescent="0.25">
      <c r="A165" s="94"/>
      <c r="B165" s="94"/>
      <c r="C165" s="94"/>
      <c r="D165" s="94"/>
      <c r="E165" s="94"/>
      <c r="F165" s="94"/>
      <c r="G165" s="94"/>
      <c r="H165" s="94"/>
      <c r="I165" s="94"/>
      <c r="J165" s="94"/>
      <c r="K165" s="94"/>
      <c r="L165" s="94"/>
      <c r="M165" s="94"/>
      <c r="N165" s="94"/>
      <c r="O165" s="94"/>
      <c r="P165" s="94"/>
      <c r="Q165" s="94"/>
    </row>
    <row r="166" spans="1:17" ht="14.45" customHeight="1" x14ac:dyDescent="0.25">
      <c r="A166" s="95" t="s">
        <v>20</v>
      </c>
      <c r="B166" s="93" t="s">
        <v>21</v>
      </c>
      <c r="C166" s="94"/>
      <c r="D166" s="94"/>
      <c r="E166" s="93" t="s">
        <v>22</v>
      </c>
      <c r="F166" s="94"/>
      <c r="G166" s="94"/>
      <c r="H166" s="93" t="s">
        <v>23</v>
      </c>
      <c r="I166" s="94"/>
      <c r="J166" s="94"/>
      <c r="K166" s="93" t="s">
        <v>24</v>
      </c>
      <c r="L166" s="94"/>
      <c r="M166" s="94"/>
      <c r="N166" s="94"/>
      <c r="O166" s="94"/>
      <c r="P166" s="93" t="s">
        <v>25</v>
      </c>
      <c r="Q166" s="93" t="s">
        <v>26</v>
      </c>
    </row>
    <row r="167" spans="1:17" x14ac:dyDescent="0.25">
      <c r="A167" s="94"/>
      <c r="B167" s="43" t="s">
        <v>27</v>
      </c>
      <c r="C167" s="43" t="s">
        <v>28</v>
      </c>
      <c r="D167" s="44">
        <v>46058</v>
      </c>
      <c r="E167" s="43" t="s">
        <v>27</v>
      </c>
      <c r="F167" s="43" t="s">
        <v>28</v>
      </c>
      <c r="G167" s="44">
        <v>46058</v>
      </c>
      <c r="H167" s="43" t="s">
        <v>27</v>
      </c>
      <c r="I167" s="43" t="s">
        <v>28</v>
      </c>
      <c r="J167" s="44">
        <v>46058</v>
      </c>
      <c r="K167" s="43" t="s">
        <v>27</v>
      </c>
      <c r="L167" s="43" t="s">
        <v>28</v>
      </c>
      <c r="M167" s="44">
        <v>46058</v>
      </c>
      <c r="N167" s="43" t="s">
        <v>29</v>
      </c>
      <c r="O167" s="43" t="s">
        <v>30</v>
      </c>
      <c r="P167" s="94"/>
      <c r="Q167" s="94"/>
    </row>
    <row r="168" spans="1:17" ht="72" customHeight="1" x14ac:dyDescent="0.25">
      <c r="A168" s="43" t="s">
        <v>904</v>
      </c>
      <c r="B168" s="43"/>
      <c r="C168" s="43"/>
      <c r="D168" s="43"/>
      <c r="E168" s="43"/>
      <c r="F168" s="43"/>
      <c r="G168" s="43"/>
      <c r="H168" s="43"/>
      <c r="I168" s="43"/>
      <c r="J168" s="43"/>
      <c r="K168" s="43">
        <v>2</v>
      </c>
      <c r="L168" s="45">
        <v>0.5</v>
      </c>
      <c r="M168" s="45">
        <v>0</v>
      </c>
      <c r="N168" s="43">
        <v>257</v>
      </c>
      <c r="O168" s="43">
        <v>257</v>
      </c>
      <c r="P168" s="43"/>
      <c r="Q168" s="43">
        <v>6</v>
      </c>
    </row>
    <row r="169" spans="1:17" ht="57.6" customHeight="1" x14ac:dyDescent="0.25">
      <c r="A169" s="43" t="s">
        <v>70</v>
      </c>
      <c r="B169" s="43"/>
      <c r="C169" s="43"/>
      <c r="D169" s="43"/>
      <c r="E169" s="43"/>
      <c r="F169" s="43"/>
      <c r="G169" s="43"/>
      <c r="H169" s="43"/>
      <c r="I169" s="43"/>
      <c r="J169" s="43"/>
      <c r="K169" s="43">
        <v>2</v>
      </c>
      <c r="L169" s="45">
        <v>1</v>
      </c>
      <c r="M169" s="45">
        <v>0</v>
      </c>
      <c r="N169" s="43">
        <v>157</v>
      </c>
      <c r="O169" s="43">
        <v>157</v>
      </c>
      <c r="P169" s="43"/>
      <c r="Q169" s="43">
        <v>3</v>
      </c>
    </row>
    <row r="170" spans="1:17" ht="72" customHeight="1" x14ac:dyDescent="0.25">
      <c r="A170" s="43" t="s">
        <v>71</v>
      </c>
      <c r="B170" s="43"/>
      <c r="C170" s="43"/>
      <c r="D170" s="43"/>
      <c r="E170" s="43"/>
      <c r="F170" s="43"/>
      <c r="G170" s="43"/>
      <c r="H170" s="43"/>
      <c r="I170" s="43"/>
      <c r="J170" s="43"/>
      <c r="K170" s="43">
        <v>5</v>
      </c>
      <c r="L170" s="45">
        <v>0.4</v>
      </c>
      <c r="M170" s="45">
        <v>0.2</v>
      </c>
      <c r="N170" s="43">
        <v>23</v>
      </c>
      <c r="O170" s="43">
        <v>23</v>
      </c>
      <c r="P170" s="43"/>
      <c r="Q170" s="43">
        <v>5</v>
      </c>
    </row>
    <row r="171" spans="1:17" ht="57.6" customHeight="1" x14ac:dyDescent="0.25">
      <c r="A171" s="43" t="s">
        <v>72</v>
      </c>
      <c r="B171" s="43"/>
      <c r="C171" s="43"/>
      <c r="D171" s="43"/>
      <c r="E171" s="43"/>
      <c r="F171" s="43"/>
      <c r="G171" s="43"/>
      <c r="H171" s="43"/>
      <c r="I171" s="43"/>
      <c r="J171" s="43"/>
      <c r="K171" s="43">
        <v>2</v>
      </c>
      <c r="L171" s="45">
        <v>1</v>
      </c>
      <c r="M171" s="45">
        <v>1</v>
      </c>
      <c r="N171" s="43">
        <v>11</v>
      </c>
      <c r="O171" s="43">
        <v>11</v>
      </c>
      <c r="P171" s="43"/>
      <c r="Q171" s="43">
        <v>2</v>
      </c>
    </row>
    <row r="172" spans="1:17" ht="86.45" customHeight="1" x14ac:dyDescent="0.25">
      <c r="A172" s="46" t="s">
        <v>905</v>
      </c>
      <c r="B172" s="46">
        <v>728</v>
      </c>
      <c r="C172" s="47">
        <v>0.73199999999999998</v>
      </c>
      <c r="D172" s="47">
        <v>0.12</v>
      </c>
      <c r="E172" s="46">
        <v>385</v>
      </c>
      <c r="F172" s="47">
        <v>0.74299999999999999</v>
      </c>
      <c r="G172" s="47">
        <v>0.114</v>
      </c>
      <c r="H172" s="46">
        <v>385</v>
      </c>
      <c r="I172" s="47">
        <v>0.74299999999999999</v>
      </c>
      <c r="J172" s="47">
        <v>0.114</v>
      </c>
      <c r="K172" s="46">
        <v>11</v>
      </c>
      <c r="L172" s="46"/>
      <c r="M172" s="46"/>
      <c r="N172" s="43"/>
      <c r="O172" s="43"/>
      <c r="P172" s="43"/>
      <c r="Q172" s="46">
        <v>16</v>
      </c>
    </row>
  </sheetData>
  <mergeCells count="80">
    <mergeCell ref="P35:P36"/>
    <mergeCell ref="E161:G161"/>
    <mergeCell ref="K30:O30"/>
    <mergeCell ref="A164:Q165"/>
    <mergeCell ref="B166:D166"/>
    <mergeCell ref="K55:O55"/>
    <mergeCell ref="E95:G95"/>
    <mergeCell ref="A33:Q34"/>
    <mergeCell ref="A72:Q73"/>
    <mergeCell ref="B30:D30"/>
    <mergeCell ref="A53:Q54"/>
    <mergeCell ref="H95:J95"/>
    <mergeCell ref="P166:P167"/>
    <mergeCell ref="A127:Q128"/>
    <mergeCell ref="K161:O161"/>
    <mergeCell ref="H30:J30"/>
    <mergeCell ref="A28:Q29"/>
    <mergeCell ref="A35:A36"/>
    <mergeCell ref="A48:Q49"/>
    <mergeCell ref="E83:G83"/>
    <mergeCell ref="E35:G35"/>
    <mergeCell ref="Q55:Q56"/>
    <mergeCell ref="P50:P51"/>
    <mergeCell ref="E30:G30"/>
    <mergeCell ref="Q74:Q75"/>
    <mergeCell ref="H35:J35"/>
    <mergeCell ref="P30:P31"/>
    <mergeCell ref="Q83:Q84"/>
    <mergeCell ref="A50:A51"/>
    <mergeCell ref="K35:O35"/>
    <mergeCell ref="Q30:Q31"/>
    <mergeCell ref="K50:O50"/>
    <mergeCell ref="B161:D161"/>
    <mergeCell ref="P129:P130"/>
    <mergeCell ref="A166:A167"/>
    <mergeCell ref="K74:O74"/>
    <mergeCell ref="K83:O83"/>
    <mergeCell ref="A74:A75"/>
    <mergeCell ref="B74:D74"/>
    <mergeCell ref="A129:A130"/>
    <mergeCell ref="B83:D83"/>
    <mergeCell ref="H166:J166"/>
    <mergeCell ref="E129:G129"/>
    <mergeCell ref="H161:J161"/>
    <mergeCell ref="H129:J129"/>
    <mergeCell ref="E74:G74"/>
    <mergeCell ref="E166:G166"/>
    <mergeCell ref="K95:O95"/>
    <mergeCell ref="Q166:Q167"/>
    <mergeCell ref="Q35:Q36"/>
    <mergeCell ref="P161:P162"/>
    <mergeCell ref="A159:Q160"/>
    <mergeCell ref="A93:Q94"/>
    <mergeCell ref="Q161:Q162"/>
    <mergeCell ref="B35:D35"/>
    <mergeCell ref="B50:D50"/>
    <mergeCell ref="P83:P84"/>
    <mergeCell ref="Q129:Q130"/>
    <mergeCell ref="Q95:Q96"/>
    <mergeCell ref="H50:J50"/>
    <mergeCell ref="A161:A162"/>
    <mergeCell ref="H55:J55"/>
    <mergeCell ref="A83:A84"/>
    <mergeCell ref="P55:P56"/>
    <mergeCell ref="K166:O166"/>
    <mergeCell ref="H74:J74"/>
    <mergeCell ref="H83:J83"/>
    <mergeCell ref="A30:A31"/>
    <mergeCell ref="Q50:Q51"/>
    <mergeCell ref="B55:D55"/>
    <mergeCell ref="B95:D95"/>
    <mergeCell ref="E50:G50"/>
    <mergeCell ref="P74:P75"/>
    <mergeCell ref="E55:G55"/>
    <mergeCell ref="K129:O129"/>
    <mergeCell ref="P95:P96"/>
    <mergeCell ref="A55:A56"/>
    <mergeCell ref="A81:Q82"/>
    <mergeCell ref="A95:A96"/>
    <mergeCell ref="B129:D129"/>
  </mergeCells>
  <hyperlinks>
    <hyperlink ref="A2" r:id="rId1" display="https://www.scei-concours.fr/stat2025/bcpst.html" xr:uid="{00000000-0004-0000-0400-000000000000}"/>
    <hyperlink ref="A3" r:id="rId2" display="https://www.scei-concours.fr/stat2025/bcpst.html" xr:uid="{00000000-0004-0000-0400-000001000000}"/>
    <hyperlink ref="A4" r:id="rId3" display="https://www.scei-concours.fr/stat2025/mp.html" xr:uid="{00000000-0004-0000-0400-000002000000}"/>
    <hyperlink ref="A5" r:id="rId4" display="https://www.scei-concours.fr/stat2025/mpi.html" xr:uid="{00000000-0004-0000-0400-000003000000}"/>
    <hyperlink ref="A6" r:id="rId5" display="https://www.scei-concours.fr/stat2025/pc.html" xr:uid="{00000000-0004-0000-0400-000004000000}"/>
    <hyperlink ref="A7" r:id="rId6" display="https://www.scei-concours.fr/stat2025/psi.html" xr:uid="{00000000-0004-0000-0400-000005000000}"/>
    <hyperlink ref="A8" r:id="rId7" display="https://www.scei-concours.fr/stat2025/pt.html" xr:uid="{00000000-0004-0000-0400-000006000000}"/>
    <hyperlink ref="A9" r:id="rId8" display="https://www.scei-concours.fr/stat2025/tsi.html" xr:uid="{00000000-0004-0000-0400-000007000000}"/>
    <hyperlink ref="A10" r:id="rId9" display="https://www.scei-concours.fr/stat2025/tb.html" xr:uid="{00000000-0004-0000-0400-000008000000}"/>
    <hyperlink ref="A11" r:id="rId10" display="https://www.scei-concours.fr/stat2025/tpc.html" xr:uid="{00000000-0004-0000-0400-000009000000}"/>
    <hyperlink ref="A15" r:id="rId11" location="rg100" display="https://www.scei-concours.fr/stat2025/bcpst.html - rg100" xr:uid="{00000000-0004-0000-0400-00000A000000}"/>
    <hyperlink ref="A16" r:id="rId12" location="rg110" display="https://www.scei-concours.fr/stat2025/bcpst.html - rg110" xr:uid="{00000000-0004-0000-0400-00000B000000}"/>
    <hyperlink ref="A17" r:id="rId13" location="rg101" display="https://www.scei-concours.fr/stat2025/bcpst.html - rg101" xr:uid="{00000000-0004-0000-0400-00000C000000}"/>
    <hyperlink ref="A18" r:id="rId14" location="rg108" display="https://www.scei-concours.fr/stat2025/bcpst.html - rg108" xr:uid="{00000000-0004-0000-0400-00000D000000}"/>
    <hyperlink ref="A19" r:id="rId15" location="rg117" display="https://www.scei-concours.fr/stat2025/bcpst.html - rg117" xr:uid="{00000000-0004-0000-0400-00000E000000}"/>
    <hyperlink ref="A20" r:id="rId16" location="rg109" display="https://www.scei-concours.fr/stat2025/bcpst.html - rg109" xr:uid="{00000000-0004-0000-0400-00000F000000}"/>
    <hyperlink ref="A21" r:id="rId17" location="rg132" display="https://www.scei-concours.fr/stat2025/bcpst.html - rg132" xr:uid="{00000000-0004-0000-0400-000010000000}"/>
    <hyperlink ref="A22" r:id="rId18" location="rg112" display="https://www.scei-concours.fr/stat2025/bcpst.html - rg112" xr:uid="{00000000-0004-0000-0400-000011000000}"/>
    <hyperlink ref="A23" r:id="rId19" location="rg111" display="https://www.scei-concours.fr/stat2025/bcpst.html - rg111" xr:uid="{00000000-0004-0000-0400-000012000000}"/>
    <hyperlink ref="A24" r:id="rId20" location="rg52" display="https://www.scei-concours.fr/stat2025/bcpst.html - rg52" xr:uid="{00000000-0004-0000-0400-000013000000}"/>
  </hyperlinks>
  <pageMargins left="0.7" right="0.7" top="0.75" bottom="0.75" header="0.3" footer="0.3"/>
  <drawing r:id="rId2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87"/>
  <sheetViews>
    <sheetView workbookViewId="0">
      <selection activeCell="E18" sqref="E18"/>
    </sheetView>
  </sheetViews>
  <sheetFormatPr baseColWidth="10" defaultRowHeight="15" x14ac:dyDescent="0.25"/>
  <sheetData>
    <row r="1" spans="1:1" x14ac:dyDescent="0.25">
      <c r="A1" s="40"/>
    </row>
    <row r="2" spans="1:1" x14ac:dyDescent="0.25">
      <c r="A2" s="41" t="s">
        <v>0</v>
      </c>
    </row>
    <row r="3" spans="1:1" x14ac:dyDescent="0.25">
      <c r="A3" s="41" t="s">
        <v>1</v>
      </c>
    </row>
    <row r="4" spans="1:1" x14ac:dyDescent="0.25">
      <c r="A4" s="41" t="s">
        <v>2</v>
      </c>
    </row>
    <row r="5" spans="1:1" x14ac:dyDescent="0.25">
      <c r="A5" s="41" t="s">
        <v>3</v>
      </c>
    </row>
    <row r="6" spans="1:1" x14ac:dyDescent="0.25">
      <c r="A6" s="41" t="s">
        <v>4</v>
      </c>
    </row>
    <row r="7" spans="1:1" x14ac:dyDescent="0.25">
      <c r="A7" s="41" t="s">
        <v>5</v>
      </c>
    </row>
    <row r="8" spans="1:1" x14ac:dyDescent="0.25">
      <c r="A8" s="41" t="s">
        <v>6</v>
      </c>
    </row>
    <row r="9" spans="1:1" x14ac:dyDescent="0.25">
      <c r="A9" s="41" t="s">
        <v>7</v>
      </c>
    </row>
    <row r="10" spans="1:1" x14ac:dyDescent="0.25">
      <c r="A10" s="41" t="s">
        <v>8</v>
      </c>
    </row>
    <row r="11" spans="1:1" x14ac:dyDescent="0.25">
      <c r="A11" s="41" t="s">
        <v>9</v>
      </c>
    </row>
    <row r="13" spans="1:1" ht="15.6" customHeight="1" x14ac:dyDescent="0.25">
      <c r="A13" s="42" t="s">
        <v>10</v>
      </c>
    </row>
    <row r="14" spans="1:1" x14ac:dyDescent="0.25">
      <c r="A14" s="40"/>
    </row>
    <row r="15" spans="1:1" x14ac:dyDescent="0.25">
      <c r="A15" s="41" t="s">
        <v>11</v>
      </c>
    </row>
    <row r="16" spans="1:1" x14ac:dyDescent="0.25">
      <c r="A16" s="41" t="s">
        <v>12</v>
      </c>
    </row>
    <row r="17" spans="1:17" x14ac:dyDescent="0.25">
      <c r="A17" s="41" t="s">
        <v>13</v>
      </c>
    </row>
    <row r="18" spans="1:17" x14ac:dyDescent="0.25">
      <c r="A18" s="41" t="s">
        <v>14</v>
      </c>
    </row>
    <row r="19" spans="1:17" x14ac:dyDescent="0.25">
      <c r="A19" s="41" t="s">
        <v>15</v>
      </c>
    </row>
    <row r="20" spans="1:17" x14ac:dyDescent="0.25">
      <c r="A20" s="41" t="s">
        <v>16</v>
      </c>
    </row>
    <row r="22" spans="1:17" x14ac:dyDescent="0.25">
      <c r="A22" t="s">
        <v>17</v>
      </c>
    </row>
    <row r="23" spans="1:17" x14ac:dyDescent="0.25">
      <c r="A23" t="s">
        <v>18</v>
      </c>
    </row>
    <row r="24" spans="1:17" x14ac:dyDescent="0.25">
      <c r="A24" s="96" t="s">
        <v>19</v>
      </c>
      <c r="B24" s="94"/>
      <c r="C24" s="94"/>
      <c r="D24" s="94"/>
      <c r="E24" s="94"/>
      <c r="F24" s="94"/>
      <c r="G24" s="94"/>
      <c r="H24" s="94"/>
      <c r="I24" s="94"/>
      <c r="J24" s="94"/>
      <c r="K24" s="94"/>
      <c r="L24" s="94"/>
      <c r="M24" s="94"/>
      <c r="N24" s="94"/>
      <c r="O24" s="94"/>
      <c r="P24" s="94"/>
      <c r="Q24" s="94"/>
    </row>
    <row r="25" spans="1:17" x14ac:dyDescent="0.25">
      <c r="A25" s="94"/>
      <c r="B25" s="94"/>
      <c r="C25" s="94"/>
      <c r="D25" s="94"/>
      <c r="E25" s="94"/>
      <c r="F25" s="94"/>
      <c r="G25" s="94"/>
      <c r="H25" s="94"/>
      <c r="I25" s="94"/>
      <c r="J25" s="94"/>
      <c r="K25" s="94"/>
      <c r="L25" s="94"/>
      <c r="M25" s="94"/>
      <c r="N25" s="94"/>
      <c r="O25" s="94"/>
      <c r="P25" s="94"/>
      <c r="Q25" s="94"/>
    </row>
    <row r="26" spans="1:17" ht="14.45" customHeight="1" x14ac:dyDescent="0.25">
      <c r="A26" s="95" t="s">
        <v>20</v>
      </c>
      <c r="B26" s="93" t="s">
        <v>21</v>
      </c>
      <c r="C26" s="94"/>
      <c r="D26" s="94"/>
      <c r="E26" s="93" t="s">
        <v>22</v>
      </c>
      <c r="F26" s="94"/>
      <c r="G26" s="94"/>
      <c r="H26" s="93" t="s">
        <v>23</v>
      </c>
      <c r="I26" s="94"/>
      <c r="J26" s="94"/>
      <c r="K26" s="93" t="s">
        <v>24</v>
      </c>
      <c r="L26" s="94"/>
      <c r="M26" s="94"/>
      <c r="N26" s="94"/>
      <c r="O26" s="94"/>
      <c r="P26" s="93" t="s">
        <v>25</v>
      </c>
      <c r="Q26" s="93" t="s">
        <v>26</v>
      </c>
    </row>
    <row r="27" spans="1:17" x14ac:dyDescent="0.25">
      <c r="A27" s="94"/>
      <c r="B27" s="43" t="s">
        <v>27</v>
      </c>
      <c r="C27" s="43" t="s">
        <v>28</v>
      </c>
      <c r="D27" s="44">
        <v>46058</v>
      </c>
      <c r="E27" s="43" t="s">
        <v>27</v>
      </c>
      <c r="F27" s="43" t="s">
        <v>28</v>
      </c>
      <c r="G27" s="44">
        <v>46058</v>
      </c>
      <c r="H27" s="43" t="s">
        <v>27</v>
      </c>
      <c r="I27" s="43" t="s">
        <v>28</v>
      </c>
      <c r="J27" s="44">
        <v>46058</v>
      </c>
      <c r="K27" s="43" t="s">
        <v>27</v>
      </c>
      <c r="L27" s="43" t="s">
        <v>28</v>
      </c>
      <c r="M27" s="44">
        <v>46058</v>
      </c>
      <c r="N27" s="43" t="s">
        <v>29</v>
      </c>
      <c r="O27" s="43" t="s">
        <v>30</v>
      </c>
      <c r="P27" s="94"/>
      <c r="Q27" s="94"/>
    </row>
    <row r="28" spans="1:17" ht="115.15" customHeight="1" x14ac:dyDescent="0.25">
      <c r="A28" s="43" t="s">
        <v>31</v>
      </c>
      <c r="B28" s="43"/>
      <c r="C28" s="43"/>
      <c r="D28" s="43"/>
      <c r="E28" s="43"/>
      <c r="F28" s="43"/>
      <c r="G28" s="43"/>
      <c r="H28" s="43"/>
      <c r="I28" s="43"/>
      <c r="J28" s="43"/>
      <c r="K28" s="43">
        <v>4</v>
      </c>
      <c r="L28" s="45">
        <v>0.75</v>
      </c>
      <c r="M28" s="45">
        <v>0.25</v>
      </c>
      <c r="N28" s="43">
        <v>27</v>
      </c>
      <c r="O28" s="43">
        <v>21</v>
      </c>
      <c r="P28" s="43"/>
      <c r="Q28" s="43">
        <v>4</v>
      </c>
    </row>
    <row r="29" spans="1:17" ht="144" customHeight="1" x14ac:dyDescent="0.25">
      <c r="A29" s="43" t="s">
        <v>32</v>
      </c>
      <c r="B29" s="43"/>
      <c r="C29" s="43"/>
      <c r="D29" s="43"/>
      <c r="E29" s="43"/>
      <c r="F29" s="43"/>
      <c r="G29" s="43"/>
      <c r="H29" s="43"/>
      <c r="I29" s="43"/>
      <c r="J29" s="43"/>
      <c r="K29" s="43">
        <v>6</v>
      </c>
      <c r="L29" s="45">
        <v>0.5</v>
      </c>
      <c r="M29" s="45">
        <v>0.16700000000000001</v>
      </c>
      <c r="N29" s="43">
        <v>81</v>
      </c>
      <c r="O29" s="43">
        <v>78</v>
      </c>
      <c r="P29" s="43"/>
      <c r="Q29" s="43">
        <v>5</v>
      </c>
    </row>
    <row r="30" spans="1:17" ht="129.6" customHeight="1" x14ac:dyDescent="0.25">
      <c r="A30" s="43" t="s">
        <v>33</v>
      </c>
      <c r="B30" s="43"/>
      <c r="C30" s="43"/>
      <c r="D30" s="43"/>
      <c r="E30" s="43"/>
      <c r="F30" s="43"/>
      <c r="G30" s="43"/>
      <c r="H30" s="43"/>
      <c r="I30" s="43"/>
      <c r="J30" s="43"/>
      <c r="K30" s="43">
        <v>2</v>
      </c>
      <c r="L30" s="45">
        <v>1</v>
      </c>
      <c r="M30" s="45">
        <v>0</v>
      </c>
      <c r="N30" s="43">
        <v>98</v>
      </c>
      <c r="O30" s="43">
        <v>98</v>
      </c>
      <c r="P30" s="43"/>
      <c r="Q30" s="43">
        <v>4</v>
      </c>
    </row>
    <row r="31" spans="1:17" ht="28.9" customHeight="1" x14ac:dyDescent="0.25">
      <c r="A31" s="43" t="s">
        <v>34</v>
      </c>
      <c r="B31" s="43"/>
      <c r="C31" s="43"/>
      <c r="D31" s="43"/>
      <c r="E31" s="43"/>
      <c r="F31" s="43"/>
      <c r="G31" s="43"/>
      <c r="H31" s="43"/>
      <c r="I31" s="43"/>
      <c r="J31" s="43"/>
      <c r="K31" s="43">
        <v>12</v>
      </c>
      <c r="L31" s="45">
        <v>0.5</v>
      </c>
      <c r="M31" s="45">
        <v>0</v>
      </c>
      <c r="N31" s="43">
        <v>19</v>
      </c>
      <c r="O31" s="43">
        <v>21</v>
      </c>
      <c r="P31" s="43"/>
      <c r="Q31" s="43">
        <v>12</v>
      </c>
    </row>
    <row r="32" spans="1:17" ht="144" customHeight="1" x14ac:dyDescent="0.25">
      <c r="A32" s="43" t="s">
        <v>35</v>
      </c>
      <c r="B32" s="43"/>
      <c r="C32" s="43"/>
      <c r="D32" s="43"/>
      <c r="E32" s="43"/>
      <c r="F32" s="43"/>
      <c r="G32" s="43"/>
      <c r="H32" s="43"/>
      <c r="I32" s="43"/>
      <c r="J32" s="43"/>
      <c r="K32" s="43">
        <v>3</v>
      </c>
      <c r="L32" s="45">
        <v>0.66700000000000004</v>
      </c>
      <c r="M32" s="45">
        <v>0.33300000000000002</v>
      </c>
      <c r="N32" s="43">
        <v>71</v>
      </c>
      <c r="O32" s="43">
        <v>64</v>
      </c>
      <c r="P32" s="43"/>
      <c r="Q32" s="43">
        <v>3</v>
      </c>
    </row>
    <row r="33" spans="1:17" ht="100.9" customHeight="1" x14ac:dyDescent="0.25">
      <c r="A33" s="43" t="s">
        <v>36</v>
      </c>
      <c r="B33" s="43"/>
      <c r="C33" s="43"/>
      <c r="D33" s="43"/>
      <c r="E33" s="43"/>
      <c r="F33" s="43"/>
      <c r="G33" s="43"/>
      <c r="H33" s="43"/>
      <c r="I33" s="43"/>
      <c r="J33" s="43"/>
      <c r="K33" s="43">
        <v>1</v>
      </c>
      <c r="L33" s="45">
        <v>0</v>
      </c>
      <c r="M33" s="45">
        <v>0</v>
      </c>
      <c r="N33" s="43">
        <v>60</v>
      </c>
      <c r="O33" s="43">
        <v>60</v>
      </c>
      <c r="P33" s="43"/>
      <c r="Q33" s="43">
        <v>2</v>
      </c>
    </row>
    <row r="34" spans="1:17" ht="43.15" customHeight="1" x14ac:dyDescent="0.25">
      <c r="A34" s="43" t="s">
        <v>37</v>
      </c>
      <c r="B34" s="43"/>
      <c r="C34" s="43"/>
      <c r="D34" s="43"/>
      <c r="E34" s="43"/>
      <c r="F34" s="43"/>
      <c r="G34" s="43"/>
      <c r="H34" s="43"/>
      <c r="I34" s="43"/>
      <c r="J34" s="43"/>
      <c r="K34" s="43">
        <v>8</v>
      </c>
      <c r="L34" s="45">
        <v>0.375</v>
      </c>
      <c r="M34" s="45">
        <v>0.25</v>
      </c>
      <c r="N34" s="43">
        <v>82</v>
      </c>
      <c r="O34" s="43">
        <v>73</v>
      </c>
      <c r="P34" s="43"/>
      <c r="Q34" s="43">
        <v>6</v>
      </c>
    </row>
    <row r="35" spans="1:17" ht="129.6" customHeight="1" x14ac:dyDescent="0.25">
      <c r="A35" s="43" t="s">
        <v>38</v>
      </c>
      <c r="B35" s="43"/>
      <c r="C35" s="43"/>
      <c r="D35" s="43"/>
      <c r="E35" s="43"/>
      <c r="F35" s="43"/>
      <c r="G35" s="43"/>
      <c r="H35" s="43"/>
      <c r="I35" s="43"/>
      <c r="J35" s="43"/>
      <c r="K35" s="43">
        <v>3</v>
      </c>
      <c r="L35" s="45">
        <v>0.33300000000000002</v>
      </c>
      <c r="M35" s="45">
        <v>0</v>
      </c>
      <c r="N35" s="43">
        <v>65</v>
      </c>
      <c r="O35" s="43">
        <v>72</v>
      </c>
      <c r="P35" s="43"/>
      <c r="Q35" s="43">
        <v>3</v>
      </c>
    </row>
    <row r="36" spans="1:17" ht="28.9" customHeight="1" x14ac:dyDescent="0.25">
      <c r="A36" s="43" t="s">
        <v>39</v>
      </c>
      <c r="B36" s="43"/>
      <c r="C36" s="43"/>
      <c r="D36" s="43"/>
      <c r="E36" s="43"/>
      <c r="F36" s="43"/>
      <c r="G36" s="43"/>
      <c r="H36" s="43"/>
      <c r="I36" s="43"/>
      <c r="J36" s="43"/>
      <c r="K36" s="43">
        <v>10</v>
      </c>
      <c r="L36" s="45">
        <v>0.7</v>
      </c>
      <c r="M36" s="45">
        <v>0.1</v>
      </c>
      <c r="N36" s="43">
        <v>80</v>
      </c>
      <c r="O36" s="43">
        <v>76</v>
      </c>
      <c r="P36" s="43"/>
      <c r="Q36" s="43">
        <v>7</v>
      </c>
    </row>
    <row r="37" spans="1:17" ht="43.15" customHeight="1" x14ac:dyDescent="0.25">
      <c r="A37" s="43" t="s">
        <v>40</v>
      </c>
      <c r="B37" s="43"/>
      <c r="C37" s="43"/>
      <c r="D37" s="43"/>
      <c r="E37" s="43"/>
      <c r="F37" s="43"/>
      <c r="G37" s="43"/>
      <c r="H37" s="43"/>
      <c r="I37" s="43"/>
      <c r="J37" s="43"/>
      <c r="K37" s="43">
        <v>8</v>
      </c>
      <c r="L37" s="45">
        <v>0.375</v>
      </c>
      <c r="M37" s="45">
        <v>0.5</v>
      </c>
      <c r="N37" s="43">
        <v>41</v>
      </c>
      <c r="O37" s="43">
        <v>40</v>
      </c>
      <c r="P37" s="43"/>
      <c r="Q37" s="43">
        <v>8</v>
      </c>
    </row>
    <row r="38" spans="1:17" ht="100.9" customHeight="1" x14ac:dyDescent="0.25">
      <c r="A38" s="43" t="s">
        <v>41</v>
      </c>
      <c r="B38" s="43"/>
      <c r="C38" s="43"/>
      <c r="D38" s="43"/>
      <c r="E38" s="43"/>
      <c r="F38" s="43"/>
      <c r="G38" s="43"/>
      <c r="H38" s="43"/>
      <c r="I38" s="43"/>
      <c r="J38" s="43"/>
      <c r="K38" s="43">
        <v>4</v>
      </c>
      <c r="L38" s="45">
        <v>0.75</v>
      </c>
      <c r="M38" s="45">
        <v>0.25</v>
      </c>
      <c r="N38" s="43">
        <v>50</v>
      </c>
      <c r="O38" s="43">
        <v>45</v>
      </c>
      <c r="P38" s="43"/>
      <c r="Q38" s="43">
        <v>4</v>
      </c>
    </row>
    <row r="39" spans="1:17" ht="72" customHeight="1" x14ac:dyDescent="0.25">
      <c r="A39" s="43" t="s">
        <v>42</v>
      </c>
      <c r="B39" s="43"/>
      <c r="C39" s="43"/>
      <c r="D39" s="43"/>
      <c r="E39" s="43"/>
      <c r="F39" s="43"/>
      <c r="G39" s="43"/>
      <c r="H39" s="43"/>
      <c r="I39" s="43"/>
      <c r="J39" s="43"/>
      <c r="K39" s="43">
        <v>4</v>
      </c>
      <c r="L39" s="45">
        <v>0</v>
      </c>
      <c r="M39" s="45">
        <v>0.25</v>
      </c>
      <c r="N39" s="43">
        <v>98</v>
      </c>
      <c r="O39" s="43">
        <v>95</v>
      </c>
      <c r="P39" s="43"/>
      <c r="Q39" s="43">
        <v>8</v>
      </c>
    </row>
    <row r="40" spans="1:17" ht="72" customHeight="1" x14ac:dyDescent="0.25">
      <c r="A40" s="43" t="s">
        <v>43</v>
      </c>
      <c r="B40" s="43"/>
      <c r="C40" s="43"/>
      <c r="D40" s="43"/>
      <c r="E40" s="43"/>
      <c r="F40" s="43"/>
      <c r="G40" s="43"/>
      <c r="H40" s="43"/>
      <c r="I40" s="43"/>
      <c r="J40" s="43"/>
      <c r="K40" s="43">
        <v>5</v>
      </c>
      <c r="L40" s="45">
        <v>1</v>
      </c>
      <c r="M40" s="45">
        <v>0.6</v>
      </c>
      <c r="N40" s="43">
        <v>70</v>
      </c>
      <c r="O40" s="43">
        <v>70</v>
      </c>
      <c r="P40" s="43"/>
      <c r="Q40" s="43">
        <v>5</v>
      </c>
    </row>
    <row r="41" spans="1:17" ht="115.15" customHeight="1" x14ac:dyDescent="0.25">
      <c r="A41" s="43" t="s">
        <v>44</v>
      </c>
      <c r="B41" s="43"/>
      <c r="C41" s="43"/>
      <c r="D41" s="43"/>
      <c r="E41" s="43"/>
      <c r="F41" s="43"/>
      <c r="G41" s="43"/>
      <c r="H41" s="43"/>
      <c r="I41" s="43"/>
      <c r="J41" s="43"/>
      <c r="K41" s="43">
        <v>0</v>
      </c>
      <c r="L41" s="45">
        <v>0</v>
      </c>
      <c r="M41" s="45">
        <v>0</v>
      </c>
      <c r="N41" s="43">
        <v>0</v>
      </c>
      <c r="O41" s="43">
        <v>0</v>
      </c>
      <c r="P41" s="43"/>
      <c r="Q41" s="43">
        <v>1</v>
      </c>
    </row>
    <row r="42" spans="1:17" ht="28.9" customHeight="1" x14ac:dyDescent="0.25">
      <c r="A42" s="46" t="s">
        <v>45</v>
      </c>
      <c r="B42" s="46">
        <v>136</v>
      </c>
      <c r="C42" s="47">
        <v>0.58799999999999997</v>
      </c>
      <c r="D42" s="47">
        <v>0.17599999999999999</v>
      </c>
      <c r="E42" s="46">
        <v>112</v>
      </c>
      <c r="F42" s="47">
        <v>0.57099999999999995</v>
      </c>
      <c r="G42" s="47">
        <v>0.214</v>
      </c>
      <c r="H42" s="46">
        <v>106</v>
      </c>
      <c r="I42" s="47">
        <v>0.56599999999999995</v>
      </c>
      <c r="J42" s="47">
        <v>0.217</v>
      </c>
      <c r="K42" s="46">
        <v>70</v>
      </c>
      <c r="L42" s="46"/>
      <c r="M42" s="46"/>
      <c r="N42" s="43"/>
      <c r="O42" s="43"/>
      <c r="P42" s="43"/>
      <c r="Q42" s="46">
        <v>72</v>
      </c>
    </row>
    <row r="43" spans="1:17" x14ac:dyDescent="0.25">
      <c r="A43" s="96" t="s">
        <v>46</v>
      </c>
      <c r="B43" s="94"/>
      <c r="C43" s="94"/>
      <c r="D43" s="94"/>
      <c r="E43" s="94"/>
      <c r="F43" s="94"/>
      <c r="G43" s="94"/>
      <c r="H43" s="94"/>
      <c r="I43" s="94"/>
      <c r="J43" s="94"/>
      <c r="K43" s="94"/>
      <c r="L43" s="94"/>
      <c r="M43" s="94"/>
      <c r="N43" s="94"/>
      <c r="O43" s="94"/>
      <c r="P43" s="94"/>
      <c r="Q43" s="94"/>
    </row>
    <row r="44" spans="1:17" x14ac:dyDescent="0.25">
      <c r="A44" s="94"/>
      <c r="B44" s="94"/>
      <c r="C44" s="94"/>
      <c r="D44" s="94"/>
      <c r="E44" s="94"/>
      <c r="F44" s="94"/>
      <c r="G44" s="94"/>
      <c r="H44" s="94"/>
      <c r="I44" s="94"/>
      <c r="J44" s="94"/>
      <c r="K44" s="94"/>
      <c r="L44" s="94"/>
      <c r="M44" s="94"/>
      <c r="N44" s="94"/>
      <c r="O44" s="94"/>
      <c r="P44" s="94"/>
      <c r="Q44" s="94"/>
    </row>
    <row r="45" spans="1:17" ht="14.45" customHeight="1" x14ac:dyDescent="0.25">
      <c r="A45" s="95" t="s">
        <v>20</v>
      </c>
      <c r="B45" s="93" t="s">
        <v>21</v>
      </c>
      <c r="C45" s="94"/>
      <c r="D45" s="94"/>
      <c r="E45" s="93" t="s">
        <v>22</v>
      </c>
      <c r="F45" s="94"/>
      <c r="G45" s="94"/>
      <c r="H45" s="93" t="s">
        <v>23</v>
      </c>
      <c r="I45" s="94"/>
      <c r="J45" s="94"/>
      <c r="K45" s="93" t="s">
        <v>24</v>
      </c>
      <c r="L45" s="94"/>
      <c r="M45" s="94"/>
      <c r="N45" s="94"/>
      <c r="O45" s="94"/>
      <c r="P45" s="93" t="s">
        <v>25</v>
      </c>
      <c r="Q45" s="93" t="s">
        <v>26</v>
      </c>
    </row>
    <row r="46" spans="1:17" x14ac:dyDescent="0.25">
      <c r="A46" s="94"/>
      <c r="B46" s="43" t="s">
        <v>27</v>
      </c>
      <c r="C46" s="43" t="s">
        <v>28</v>
      </c>
      <c r="D46" s="44">
        <v>46058</v>
      </c>
      <c r="E46" s="43" t="s">
        <v>27</v>
      </c>
      <c r="F46" s="43" t="s">
        <v>28</v>
      </c>
      <c r="G46" s="44">
        <v>46058</v>
      </c>
      <c r="H46" s="43" t="s">
        <v>27</v>
      </c>
      <c r="I46" s="43" t="s">
        <v>28</v>
      </c>
      <c r="J46" s="44">
        <v>46058</v>
      </c>
      <c r="K46" s="43" t="s">
        <v>27</v>
      </c>
      <c r="L46" s="43" t="s">
        <v>28</v>
      </c>
      <c r="M46" s="44">
        <v>46058</v>
      </c>
      <c r="N46" s="43" t="s">
        <v>29</v>
      </c>
      <c r="O46" s="43" t="s">
        <v>30</v>
      </c>
      <c r="P46" s="94"/>
      <c r="Q46" s="94"/>
    </row>
    <row r="47" spans="1:17" ht="28.9" customHeight="1" x14ac:dyDescent="0.25">
      <c r="A47" s="43" t="s">
        <v>46</v>
      </c>
      <c r="B47" s="43">
        <v>32</v>
      </c>
      <c r="C47" s="45">
        <v>0.438</v>
      </c>
      <c r="D47" s="45">
        <v>0.125</v>
      </c>
      <c r="E47" s="43">
        <v>28</v>
      </c>
      <c r="F47" s="45">
        <v>0.42899999999999999</v>
      </c>
      <c r="G47" s="45">
        <v>0.14299999999999999</v>
      </c>
      <c r="H47" s="43">
        <v>3</v>
      </c>
      <c r="I47" s="45">
        <v>0.33300000000000002</v>
      </c>
      <c r="J47" s="45">
        <v>0</v>
      </c>
      <c r="K47" s="43">
        <v>1</v>
      </c>
      <c r="L47" s="45">
        <v>0</v>
      </c>
      <c r="M47" s="45">
        <v>0</v>
      </c>
      <c r="N47" s="43">
        <v>3</v>
      </c>
      <c r="O47" s="43">
        <v>3</v>
      </c>
      <c r="P47" s="43"/>
      <c r="Q47" s="43">
        <v>2</v>
      </c>
    </row>
    <row r="48" spans="1:17" x14ac:dyDescent="0.25">
      <c r="A48" s="96" t="s">
        <v>47</v>
      </c>
      <c r="B48" s="94"/>
      <c r="C48" s="94"/>
      <c r="D48" s="94"/>
      <c r="E48" s="94"/>
      <c r="F48" s="94"/>
      <c r="G48" s="94"/>
      <c r="H48" s="94"/>
      <c r="I48" s="94"/>
      <c r="J48" s="94"/>
      <c r="K48" s="94"/>
      <c r="L48" s="94"/>
      <c r="M48" s="94"/>
      <c r="N48" s="94"/>
      <c r="O48" s="94"/>
      <c r="P48" s="94"/>
      <c r="Q48" s="94"/>
    </row>
    <row r="49" spans="1:17" x14ac:dyDescent="0.25">
      <c r="A49" s="94"/>
      <c r="B49" s="94"/>
      <c r="C49" s="94"/>
      <c r="D49" s="94"/>
      <c r="E49" s="94"/>
      <c r="F49" s="94"/>
      <c r="G49" s="94"/>
      <c r="H49" s="94"/>
      <c r="I49" s="94"/>
      <c r="J49" s="94"/>
      <c r="K49" s="94"/>
      <c r="L49" s="94"/>
      <c r="M49" s="94"/>
      <c r="N49" s="94"/>
      <c r="O49" s="94"/>
      <c r="P49" s="94"/>
      <c r="Q49" s="94"/>
    </row>
    <row r="50" spans="1:17" ht="14.45" customHeight="1" x14ac:dyDescent="0.25">
      <c r="A50" s="95" t="s">
        <v>20</v>
      </c>
      <c r="B50" s="93" t="s">
        <v>21</v>
      </c>
      <c r="C50" s="94"/>
      <c r="D50" s="94"/>
      <c r="E50" s="93" t="s">
        <v>22</v>
      </c>
      <c r="F50" s="94"/>
      <c r="G50" s="94"/>
      <c r="H50" s="93" t="s">
        <v>23</v>
      </c>
      <c r="I50" s="94"/>
      <c r="J50" s="94"/>
      <c r="K50" s="93" t="s">
        <v>24</v>
      </c>
      <c r="L50" s="94"/>
      <c r="M50" s="94"/>
      <c r="N50" s="94"/>
      <c r="O50" s="94"/>
      <c r="P50" s="93" t="s">
        <v>25</v>
      </c>
      <c r="Q50" s="93" t="s">
        <v>26</v>
      </c>
    </row>
    <row r="51" spans="1:17" x14ac:dyDescent="0.25">
      <c r="A51" s="94"/>
      <c r="B51" s="43" t="s">
        <v>27</v>
      </c>
      <c r="C51" s="43" t="s">
        <v>28</v>
      </c>
      <c r="D51" s="44">
        <v>46058</v>
      </c>
      <c r="E51" s="43" t="s">
        <v>27</v>
      </c>
      <c r="F51" s="43" t="s">
        <v>28</v>
      </c>
      <c r="G51" s="44">
        <v>46058</v>
      </c>
      <c r="H51" s="43" t="s">
        <v>27</v>
      </c>
      <c r="I51" s="43" t="s">
        <v>28</v>
      </c>
      <c r="J51" s="44">
        <v>46058</v>
      </c>
      <c r="K51" s="43" t="s">
        <v>27</v>
      </c>
      <c r="L51" s="43" t="s">
        <v>28</v>
      </c>
      <c r="M51" s="44">
        <v>46058</v>
      </c>
      <c r="N51" s="43" t="s">
        <v>29</v>
      </c>
      <c r="O51" s="43" t="s">
        <v>30</v>
      </c>
      <c r="P51" s="94"/>
      <c r="Q51" s="94"/>
    </row>
    <row r="52" spans="1:17" ht="57.6" customHeight="1" x14ac:dyDescent="0.25">
      <c r="A52" s="43" t="s">
        <v>48</v>
      </c>
      <c r="B52" s="43"/>
      <c r="C52" s="43"/>
      <c r="D52" s="43"/>
      <c r="E52" s="43"/>
      <c r="F52" s="43"/>
      <c r="G52" s="43"/>
      <c r="H52" s="43"/>
      <c r="I52" s="43"/>
      <c r="J52" s="43"/>
      <c r="K52" s="43">
        <v>2</v>
      </c>
      <c r="L52" s="45">
        <v>1</v>
      </c>
      <c r="M52" s="45">
        <v>0</v>
      </c>
      <c r="N52" s="43">
        <v>10</v>
      </c>
      <c r="O52" s="43">
        <v>10</v>
      </c>
      <c r="P52" s="43"/>
      <c r="Q52" s="43">
        <v>2</v>
      </c>
    </row>
    <row r="53" spans="1:17" ht="57.6" customHeight="1" x14ac:dyDescent="0.25">
      <c r="A53" s="43" t="s">
        <v>49</v>
      </c>
      <c r="B53" s="43"/>
      <c r="C53" s="43"/>
      <c r="D53" s="43"/>
      <c r="E53" s="43"/>
      <c r="F53" s="43"/>
      <c r="G53" s="43"/>
      <c r="H53" s="43"/>
      <c r="I53" s="43"/>
      <c r="J53" s="43"/>
      <c r="K53" s="43">
        <v>3</v>
      </c>
      <c r="L53" s="45">
        <v>1</v>
      </c>
      <c r="M53" s="45">
        <v>0.33300000000000002</v>
      </c>
      <c r="N53" s="43">
        <v>3</v>
      </c>
      <c r="O53" s="43">
        <v>4</v>
      </c>
      <c r="P53" s="43"/>
      <c r="Q53" s="43">
        <v>3</v>
      </c>
    </row>
    <row r="54" spans="1:17" ht="72" customHeight="1" x14ac:dyDescent="0.25">
      <c r="A54" s="43" t="s">
        <v>50</v>
      </c>
      <c r="B54" s="43"/>
      <c r="C54" s="43"/>
      <c r="D54" s="43"/>
      <c r="E54" s="43"/>
      <c r="F54" s="43"/>
      <c r="G54" s="43"/>
      <c r="H54" s="43"/>
      <c r="I54" s="43"/>
      <c r="J54" s="43"/>
      <c r="K54" s="43">
        <v>2</v>
      </c>
      <c r="L54" s="45">
        <v>0</v>
      </c>
      <c r="M54" s="45">
        <v>0</v>
      </c>
      <c r="N54" s="43">
        <v>9</v>
      </c>
      <c r="O54" s="43">
        <v>9</v>
      </c>
      <c r="P54" s="43"/>
      <c r="Q54" s="43">
        <v>2</v>
      </c>
    </row>
    <row r="55" spans="1:17" ht="43.15" customHeight="1" x14ac:dyDescent="0.25">
      <c r="A55" s="43" t="s">
        <v>51</v>
      </c>
      <c r="B55" s="43"/>
      <c r="C55" s="43"/>
      <c r="D55" s="43"/>
      <c r="E55" s="43"/>
      <c r="F55" s="43"/>
      <c r="G55" s="43"/>
      <c r="H55" s="43"/>
      <c r="I55" s="43"/>
      <c r="J55" s="43"/>
      <c r="K55" s="43">
        <v>2</v>
      </c>
      <c r="L55" s="45">
        <v>1</v>
      </c>
      <c r="M55" s="45">
        <v>0.5</v>
      </c>
      <c r="N55" s="43">
        <v>8</v>
      </c>
      <c r="O55" s="43">
        <v>8</v>
      </c>
      <c r="P55" s="43"/>
      <c r="Q55" s="43">
        <v>2</v>
      </c>
    </row>
    <row r="56" spans="1:17" ht="28.9" customHeight="1" x14ac:dyDescent="0.25">
      <c r="A56" s="46" t="s">
        <v>52</v>
      </c>
      <c r="B56" s="46">
        <v>52</v>
      </c>
      <c r="C56" s="47">
        <v>0.76900000000000002</v>
      </c>
      <c r="D56" s="47">
        <v>0.25</v>
      </c>
      <c r="E56" s="46">
        <v>30</v>
      </c>
      <c r="F56" s="47">
        <v>0.76700000000000002</v>
      </c>
      <c r="G56" s="47">
        <v>0.4</v>
      </c>
      <c r="H56" s="46">
        <v>19</v>
      </c>
      <c r="I56" s="47">
        <v>0.73699999999999999</v>
      </c>
      <c r="J56" s="47">
        <v>0.316</v>
      </c>
      <c r="K56" s="46">
        <v>9</v>
      </c>
      <c r="L56" s="46"/>
      <c r="M56" s="46"/>
      <c r="N56" s="43"/>
      <c r="O56" s="43"/>
      <c r="P56" s="43"/>
      <c r="Q56" s="46">
        <v>9</v>
      </c>
    </row>
    <row r="57" spans="1:17" x14ac:dyDescent="0.25">
      <c r="A57" s="96" t="s">
        <v>53</v>
      </c>
      <c r="B57" s="94"/>
      <c r="C57" s="94"/>
      <c r="D57" s="94"/>
      <c r="E57" s="94"/>
      <c r="F57" s="94"/>
      <c r="G57" s="94"/>
      <c r="H57" s="94"/>
      <c r="I57" s="94"/>
      <c r="J57" s="94"/>
      <c r="K57" s="94"/>
      <c r="L57" s="94"/>
      <c r="M57" s="94"/>
      <c r="N57" s="94"/>
      <c r="O57" s="94"/>
      <c r="P57" s="94"/>
      <c r="Q57" s="94"/>
    </row>
    <row r="58" spans="1:17" x14ac:dyDescent="0.25">
      <c r="A58" s="94"/>
      <c r="B58" s="94"/>
      <c r="C58" s="94"/>
      <c r="D58" s="94"/>
      <c r="E58" s="94"/>
      <c r="F58" s="94"/>
      <c r="G58" s="94"/>
      <c r="H58" s="94"/>
      <c r="I58" s="94"/>
      <c r="J58" s="94"/>
      <c r="K58" s="94"/>
      <c r="L58" s="94"/>
      <c r="M58" s="94"/>
      <c r="N58" s="94"/>
      <c r="O58" s="94"/>
      <c r="P58" s="94"/>
      <c r="Q58" s="94"/>
    </row>
    <row r="59" spans="1:17" ht="14.45" customHeight="1" x14ac:dyDescent="0.25">
      <c r="A59" s="95" t="s">
        <v>20</v>
      </c>
      <c r="B59" s="93" t="s">
        <v>21</v>
      </c>
      <c r="C59" s="94"/>
      <c r="D59" s="94"/>
      <c r="E59" s="93" t="s">
        <v>22</v>
      </c>
      <c r="F59" s="94"/>
      <c r="G59" s="94"/>
      <c r="H59" s="93" t="s">
        <v>23</v>
      </c>
      <c r="I59" s="94"/>
      <c r="J59" s="94"/>
      <c r="K59" s="93" t="s">
        <v>24</v>
      </c>
      <c r="L59" s="94"/>
      <c r="M59" s="94"/>
      <c r="N59" s="94"/>
      <c r="O59" s="94"/>
      <c r="P59" s="93" t="s">
        <v>25</v>
      </c>
      <c r="Q59" s="93" t="s">
        <v>26</v>
      </c>
    </row>
    <row r="60" spans="1:17" x14ac:dyDescent="0.25">
      <c r="A60" s="94"/>
      <c r="B60" s="43" t="s">
        <v>27</v>
      </c>
      <c r="C60" s="43" t="s">
        <v>28</v>
      </c>
      <c r="D60" s="44">
        <v>46058</v>
      </c>
      <c r="E60" s="43" t="s">
        <v>27</v>
      </c>
      <c r="F60" s="43" t="s">
        <v>28</v>
      </c>
      <c r="G60" s="44">
        <v>46058</v>
      </c>
      <c r="H60" s="43" t="s">
        <v>27</v>
      </c>
      <c r="I60" s="43" t="s">
        <v>28</v>
      </c>
      <c r="J60" s="44">
        <v>46058</v>
      </c>
      <c r="K60" s="43" t="s">
        <v>27</v>
      </c>
      <c r="L60" s="43" t="s">
        <v>28</v>
      </c>
      <c r="M60" s="44">
        <v>46058</v>
      </c>
      <c r="N60" s="43" t="s">
        <v>29</v>
      </c>
      <c r="O60" s="43" t="s">
        <v>30</v>
      </c>
      <c r="P60" s="94"/>
      <c r="Q60" s="94"/>
    </row>
    <row r="61" spans="1:17" ht="57.6" customHeight="1" x14ac:dyDescent="0.25">
      <c r="A61" s="43" t="s">
        <v>54</v>
      </c>
      <c r="B61" s="43"/>
      <c r="C61" s="43"/>
      <c r="D61" s="43"/>
      <c r="E61" s="43"/>
      <c r="F61" s="43"/>
      <c r="G61" s="43"/>
      <c r="H61" s="43"/>
      <c r="I61" s="43"/>
      <c r="J61" s="43"/>
      <c r="K61" s="43">
        <v>2</v>
      </c>
      <c r="L61" s="45">
        <v>0.5</v>
      </c>
      <c r="M61" s="45">
        <v>0.5</v>
      </c>
      <c r="N61" s="43">
        <v>27</v>
      </c>
      <c r="O61" s="43">
        <v>27</v>
      </c>
      <c r="P61" s="43"/>
      <c r="Q61" s="43">
        <v>1</v>
      </c>
    </row>
    <row r="62" spans="1:17" ht="72" customHeight="1" x14ac:dyDescent="0.25">
      <c r="A62" s="43" t="s">
        <v>55</v>
      </c>
      <c r="B62" s="43"/>
      <c r="C62" s="43"/>
      <c r="D62" s="43"/>
      <c r="E62" s="43"/>
      <c r="F62" s="43"/>
      <c r="G62" s="43"/>
      <c r="H62" s="43"/>
      <c r="I62" s="43"/>
      <c r="J62" s="43"/>
      <c r="K62" s="43">
        <v>1</v>
      </c>
      <c r="L62" s="45">
        <v>0</v>
      </c>
      <c r="M62" s="45">
        <v>0</v>
      </c>
      <c r="N62" s="43">
        <v>64</v>
      </c>
      <c r="O62" s="43">
        <v>64</v>
      </c>
      <c r="P62" s="43"/>
      <c r="Q62" s="43">
        <v>1</v>
      </c>
    </row>
    <row r="63" spans="1:17" ht="28.9" customHeight="1" x14ac:dyDescent="0.25">
      <c r="A63" s="43" t="s">
        <v>56</v>
      </c>
      <c r="B63" s="43"/>
      <c r="C63" s="43"/>
      <c r="D63" s="43"/>
      <c r="E63" s="43"/>
      <c r="F63" s="43"/>
      <c r="G63" s="43"/>
      <c r="H63" s="43"/>
      <c r="I63" s="43"/>
      <c r="J63" s="43"/>
      <c r="K63" s="43">
        <v>1</v>
      </c>
      <c r="L63" s="45">
        <v>0</v>
      </c>
      <c r="M63" s="45">
        <v>0</v>
      </c>
      <c r="N63" s="43">
        <v>1</v>
      </c>
      <c r="O63" s="43">
        <v>1</v>
      </c>
      <c r="P63" s="43"/>
      <c r="Q63" s="43">
        <v>1</v>
      </c>
    </row>
    <row r="64" spans="1:17" ht="115.15" customHeight="1" x14ac:dyDescent="0.25">
      <c r="A64" s="43" t="s">
        <v>57</v>
      </c>
      <c r="B64" s="43"/>
      <c r="C64" s="43"/>
      <c r="D64" s="43"/>
      <c r="E64" s="43"/>
      <c r="F64" s="43"/>
      <c r="G64" s="43"/>
      <c r="H64" s="43"/>
      <c r="I64" s="43"/>
      <c r="J64" s="43"/>
      <c r="K64" s="43">
        <v>1</v>
      </c>
      <c r="L64" s="45">
        <v>1</v>
      </c>
      <c r="M64" s="45">
        <v>0</v>
      </c>
      <c r="N64" s="43">
        <v>30</v>
      </c>
      <c r="O64" s="43">
        <v>30</v>
      </c>
      <c r="P64" s="43"/>
      <c r="Q64" s="43">
        <v>1</v>
      </c>
    </row>
    <row r="65" spans="1:17" ht="43.15" customHeight="1" x14ac:dyDescent="0.25">
      <c r="A65" s="43" t="s">
        <v>58</v>
      </c>
      <c r="B65" s="43"/>
      <c r="C65" s="43"/>
      <c r="D65" s="43"/>
      <c r="E65" s="43"/>
      <c r="F65" s="43"/>
      <c r="G65" s="43"/>
      <c r="H65" s="43"/>
      <c r="I65" s="43"/>
      <c r="J65" s="43"/>
      <c r="K65" s="43">
        <v>0</v>
      </c>
      <c r="L65" s="45">
        <v>0</v>
      </c>
      <c r="M65" s="45">
        <v>0</v>
      </c>
      <c r="N65" s="43">
        <v>0</v>
      </c>
      <c r="O65" s="43">
        <v>0</v>
      </c>
      <c r="P65" s="43"/>
      <c r="Q65" s="43">
        <v>1</v>
      </c>
    </row>
    <row r="66" spans="1:17" ht="57.6" customHeight="1" x14ac:dyDescent="0.25">
      <c r="A66" s="43" t="s">
        <v>59</v>
      </c>
      <c r="B66" s="43"/>
      <c r="C66" s="43"/>
      <c r="D66" s="43"/>
      <c r="E66" s="43"/>
      <c r="F66" s="43"/>
      <c r="G66" s="43"/>
      <c r="H66" s="43"/>
      <c r="I66" s="43"/>
      <c r="J66" s="43"/>
      <c r="K66" s="43">
        <v>1</v>
      </c>
      <c r="L66" s="45">
        <v>0</v>
      </c>
      <c r="M66" s="45">
        <v>0</v>
      </c>
      <c r="N66" s="43">
        <v>55</v>
      </c>
      <c r="O66" s="43">
        <v>55</v>
      </c>
      <c r="P66" s="43"/>
      <c r="Q66" s="43">
        <v>1</v>
      </c>
    </row>
    <row r="67" spans="1:17" ht="72" customHeight="1" x14ac:dyDescent="0.25">
      <c r="A67" s="43" t="s">
        <v>60</v>
      </c>
      <c r="B67" s="43"/>
      <c r="C67" s="43"/>
      <c r="D67" s="43"/>
      <c r="E67" s="43"/>
      <c r="F67" s="43"/>
      <c r="G67" s="43"/>
      <c r="H67" s="43"/>
      <c r="I67" s="43"/>
      <c r="J67" s="43"/>
      <c r="K67" s="43">
        <v>1</v>
      </c>
      <c r="L67" s="45">
        <v>0</v>
      </c>
      <c r="M67" s="45">
        <v>1</v>
      </c>
      <c r="N67" s="43">
        <v>52</v>
      </c>
      <c r="O67" s="43">
        <v>52</v>
      </c>
      <c r="P67" s="43"/>
      <c r="Q67" s="43">
        <v>1</v>
      </c>
    </row>
    <row r="68" spans="1:17" ht="57.6" customHeight="1" x14ac:dyDescent="0.25">
      <c r="A68" s="43" t="s">
        <v>61</v>
      </c>
      <c r="B68" s="43"/>
      <c r="C68" s="43"/>
      <c r="D68" s="43"/>
      <c r="E68" s="43"/>
      <c r="F68" s="43"/>
      <c r="G68" s="43"/>
      <c r="H68" s="43"/>
      <c r="I68" s="43"/>
      <c r="J68" s="43"/>
      <c r="K68" s="43">
        <v>1</v>
      </c>
      <c r="L68" s="45">
        <v>1</v>
      </c>
      <c r="M68" s="45">
        <v>0</v>
      </c>
      <c r="N68" s="43">
        <v>48</v>
      </c>
      <c r="O68" s="43">
        <v>48</v>
      </c>
      <c r="P68" s="43"/>
      <c r="Q68" s="43">
        <v>1</v>
      </c>
    </row>
    <row r="69" spans="1:17" ht="57.6" customHeight="1" x14ac:dyDescent="0.25">
      <c r="A69" s="43" t="s">
        <v>62</v>
      </c>
      <c r="B69" s="43"/>
      <c r="C69" s="43"/>
      <c r="D69" s="43"/>
      <c r="E69" s="43"/>
      <c r="F69" s="43"/>
      <c r="G69" s="43"/>
      <c r="H69" s="43"/>
      <c r="I69" s="43"/>
      <c r="J69" s="43"/>
      <c r="K69" s="43">
        <v>1</v>
      </c>
      <c r="L69" s="45">
        <v>0</v>
      </c>
      <c r="M69" s="45">
        <v>0</v>
      </c>
      <c r="N69" s="43">
        <v>62</v>
      </c>
      <c r="O69" s="43">
        <v>62</v>
      </c>
      <c r="P69" s="43"/>
      <c r="Q69" s="43">
        <v>1</v>
      </c>
    </row>
    <row r="70" spans="1:17" ht="86.45" customHeight="1" x14ac:dyDescent="0.25">
      <c r="A70" s="43" t="s">
        <v>63</v>
      </c>
      <c r="B70" s="43"/>
      <c r="C70" s="43"/>
      <c r="D70" s="43"/>
      <c r="E70" s="43"/>
      <c r="F70" s="43"/>
      <c r="G70" s="43"/>
      <c r="H70" s="43"/>
      <c r="I70" s="43"/>
      <c r="J70" s="43"/>
      <c r="K70" s="43">
        <v>1</v>
      </c>
      <c r="L70" s="45">
        <v>1</v>
      </c>
      <c r="M70" s="45">
        <v>0</v>
      </c>
      <c r="N70" s="43">
        <v>56</v>
      </c>
      <c r="O70" s="43">
        <v>56</v>
      </c>
      <c r="P70" s="43"/>
      <c r="Q70" s="43">
        <v>1</v>
      </c>
    </row>
    <row r="71" spans="1:17" ht="57.6" customHeight="1" x14ac:dyDescent="0.25">
      <c r="A71" s="43" t="s">
        <v>64</v>
      </c>
      <c r="B71" s="43"/>
      <c r="C71" s="43"/>
      <c r="D71" s="43"/>
      <c r="E71" s="43"/>
      <c r="F71" s="43"/>
      <c r="G71" s="43"/>
      <c r="H71" s="43"/>
      <c r="I71" s="43"/>
      <c r="J71" s="43"/>
      <c r="K71" s="43">
        <v>1</v>
      </c>
      <c r="L71" s="45">
        <v>1</v>
      </c>
      <c r="M71" s="45">
        <v>1</v>
      </c>
      <c r="N71" s="43">
        <v>49</v>
      </c>
      <c r="O71" s="43">
        <v>49</v>
      </c>
      <c r="P71" s="43"/>
      <c r="Q71" s="43">
        <v>1</v>
      </c>
    </row>
    <row r="72" spans="1:17" ht="72" customHeight="1" x14ac:dyDescent="0.25">
      <c r="A72" s="43" t="s">
        <v>65</v>
      </c>
      <c r="B72" s="43"/>
      <c r="C72" s="43"/>
      <c r="D72" s="43"/>
      <c r="E72" s="43"/>
      <c r="F72" s="43"/>
      <c r="G72" s="43"/>
      <c r="H72" s="43"/>
      <c r="I72" s="43"/>
      <c r="J72" s="43"/>
      <c r="K72" s="43">
        <v>1</v>
      </c>
      <c r="L72" s="45">
        <v>1</v>
      </c>
      <c r="M72" s="45">
        <v>1</v>
      </c>
      <c r="N72" s="43">
        <v>72</v>
      </c>
      <c r="O72" s="43">
        <v>72</v>
      </c>
      <c r="P72" s="43"/>
      <c r="Q72" s="43">
        <v>1</v>
      </c>
    </row>
    <row r="73" spans="1:17" ht="57.6" customHeight="1" x14ac:dyDescent="0.25">
      <c r="A73" s="43" t="s">
        <v>66</v>
      </c>
      <c r="B73" s="43"/>
      <c r="C73" s="43"/>
      <c r="D73" s="43"/>
      <c r="E73" s="43"/>
      <c r="F73" s="43"/>
      <c r="G73" s="43"/>
      <c r="H73" s="43"/>
      <c r="I73" s="43"/>
      <c r="J73" s="43"/>
      <c r="K73" s="43">
        <v>1</v>
      </c>
      <c r="L73" s="45">
        <v>1</v>
      </c>
      <c r="M73" s="45">
        <v>1</v>
      </c>
      <c r="N73" s="43">
        <v>26</v>
      </c>
      <c r="O73" s="43">
        <v>26</v>
      </c>
      <c r="P73" s="43"/>
      <c r="Q73" s="43">
        <v>1</v>
      </c>
    </row>
    <row r="74" spans="1:17" ht="43.15" customHeight="1" x14ac:dyDescent="0.25">
      <c r="A74" s="46" t="s">
        <v>53</v>
      </c>
      <c r="B74" s="46">
        <v>110</v>
      </c>
      <c r="C74" s="47">
        <v>0.56399999999999995</v>
      </c>
      <c r="D74" s="47">
        <v>0.16400000000000001</v>
      </c>
      <c r="E74" s="46">
        <v>86</v>
      </c>
      <c r="F74" s="47">
        <v>0.56999999999999995</v>
      </c>
      <c r="G74" s="47">
        <v>0.20899999999999999</v>
      </c>
      <c r="H74" s="46">
        <v>80</v>
      </c>
      <c r="I74" s="47">
        <v>0.58799999999999997</v>
      </c>
      <c r="J74" s="47">
        <v>0.21299999999999999</v>
      </c>
      <c r="K74" s="46">
        <v>13</v>
      </c>
      <c r="L74" s="46"/>
      <c r="M74" s="46"/>
      <c r="N74" s="43"/>
      <c r="O74" s="43"/>
      <c r="P74" s="43"/>
      <c r="Q74" s="46">
        <v>13</v>
      </c>
    </row>
    <row r="75" spans="1:17" x14ac:dyDescent="0.25">
      <c r="A75" s="96" t="s">
        <v>67</v>
      </c>
      <c r="B75" s="94"/>
      <c r="C75" s="94"/>
      <c r="D75" s="94"/>
      <c r="E75" s="94"/>
      <c r="F75" s="94"/>
      <c r="G75" s="94"/>
      <c r="H75" s="94"/>
      <c r="I75" s="94"/>
      <c r="J75" s="94"/>
      <c r="K75" s="94"/>
      <c r="L75" s="94"/>
      <c r="M75" s="94"/>
      <c r="N75" s="94"/>
      <c r="O75" s="94"/>
      <c r="P75" s="94"/>
      <c r="Q75" s="94"/>
    </row>
    <row r="76" spans="1:17" x14ac:dyDescent="0.25">
      <c r="A76" s="94"/>
      <c r="B76" s="94"/>
      <c r="C76" s="94"/>
      <c r="D76" s="94"/>
      <c r="E76" s="94"/>
      <c r="F76" s="94"/>
      <c r="G76" s="94"/>
      <c r="H76" s="94"/>
      <c r="I76" s="94"/>
      <c r="J76" s="94"/>
      <c r="K76" s="94"/>
      <c r="L76" s="94"/>
      <c r="M76" s="94"/>
      <c r="N76" s="94"/>
      <c r="O76" s="94"/>
      <c r="P76" s="94"/>
      <c r="Q76" s="94"/>
    </row>
    <row r="77" spans="1:17" ht="14.45" customHeight="1" x14ac:dyDescent="0.25">
      <c r="A77" s="95" t="s">
        <v>20</v>
      </c>
      <c r="B77" s="93" t="s">
        <v>21</v>
      </c>
      <c r="C77" s="94"/>
      <c r="D77" s="94"/>
      <c r="E77" s="93" t="s">
        <v>22</v>
      </c>
      <c r="F77" s="94"/>
      <c r="G77" s="94"/>
      <c r="H77" s="93" t="s">
        <v>23</v>
      </c>
      <c r="I77" s="94"/>
      <c r="J77" s="94"/>
      <c r="K77" s="93" t="s">
        <v>24</v>
      </c>
      <c r="L77" s="94"/>
      <c r="M77" s="94"/>
      <c r="N77" s="94"/>
      <c r="O77" s="94"/>
      <c r="P77" s="93" t="s">
        <v>25</v>
      </c>
      <c r="Q77" s="93" t="s">
        <v>26</v>
      </c>
    </row>
    <row r="78" spans="1:17" x14ac:dyDescent="0.25">
      <c r="A78" s="94"/>
      <c r="B78" s="43" t="s">
        <v>27</v>
      </c>
      <c r="C78" s="43" t="s">
        <v>28</v>
      </c>
      <c r="D78" s="44">
        <v>46058</v>
      </c>
      <c r="E78" s="43" t="s">
        <v>27</v>
      </c>
      <c r="F78" s="43" t="s">
        <v>28</v>
      </c>
      <c r="G78" s="44">
        <v>46058</v>
      </c>
      <c r="H78" s="43" t="s">
        <v>27</v>
      </c>
      <c r="I78" s="43" t="s">
        <v>28</v>
      </c>
      <c r="J78" s="44">
        <v>46058</v>
      </c>
      <c r="K78" s="43" t="s">
        <v>27</v>
      </c>
      <c r="L78" s="43" t="s">
        <v>28</v>
      </c>
      <c r="M78" s="44">
        <v>46058</v>
      </c>
      <c r="N78" s="43" t="s">
        <v>29</v>
      </c>
      <c r="O78" s="43" t="s">
        <v>30</v>
      </c>
      <c r="P78" s="94"/>
      <c r="Q78" s="94"/>
    </row>
    <row r="79" spans="1:17" ht="28.9" customHeight="1" x14ac:dyDescent="0.25">
      <c r="A79" s="43" t="s">
        <v>68</v>
      </c>
      <c r="B79" s="43">
        <v>31</v>
      </c>
      <c r="C79" s="45">
        <v>0.48399999999999999</v>
      </c>
      <c r="D79" s="45">
        <v>0</v>
      </c>
      <c r="E79" s="43">
        <v>8</v>
      </c>
      <c r="F79" s="45">
        <v>0.625</v>
      </c>
      <c r="G79" s="45">
        <v>0</v>
      </c>
      <c r="H79" s="43">
        <v>2</v>
      </c>
      <c r="I79" s="45">
        <v>0.5</v>
      </c>
      <c r="J79" s="45">
        <v>0</v>
      </c>
      <c r="K79" s="43">
        <v>2</v>
      </c>
      <c r="L79" s="45">
        <v>0.5</v>
      </c>
      <c r="M79" s="45">
        <v>0</v>
      </c>
      <c r="N79" s="43">
        <v>2</v>
      </c>
      <c r="O79" s="43">
        <v>2</v>
      </c>
      <c r="P79" s="43"/>
      <c r="Q79" s="43">
        <v>2</v>
      </c>
    </row>
    <row r="80" spans="1:17" x14ac:dyDescent="0.25">
      <c r="A80" s="96" t="s">
        <v>69</v>
      </c>
      <c r="B80" s="94"/>
      <c r="C80" s="94"/>
      <c r="D80" s="94"/>
      <c r="E80" s="94"/>
      <c r="F80" s="94"/>
      <c r="G80" s="94"/>
      <c r="H80" s="94"/>
      <c r="I80" s="94"/>
      <c r="J80" s="94"/>
      <c r="K80" s="94"/>
      <c r="L80" s="94"/>
      <c r="M80" s="94"/>
      <c r="N80" s="94"/>
      <c r="O80" s="94"/>
      <c r="P80" s="94"/>
      <c r="Q80" s="94"/>
    </row>
    <row r="81" spans="1:17" x14ac:dyDescent="0.25">
      <c r="A81" s="94"/>
      <c r="B81" s="94"/>
      <c r="C81" s="94"/>
      <c r="D81" s="94"/>
      <c r="E81" s="94"/>
      <c r="F81" s="94"/>
      <c r="G81" s="94"/>
      <c r="H81" s="94"/>
      <c r="I81" s="94"/>
      <c r="J81" s="94"/>
      <c r="K81" s="94"/>
      <c r="L81" s="94"/>
      <c r="M81" s="94"/>
      <c r="N81" s="94"/>
      <c r="O81" s="94"/>
      <c r="P81" s="94"/>
      <c r="Q81" s="94"/>
    </row>
    <row r="82" spans="1:17" ht="14.45" customHeight="1" x14ac:dyDescent="0.25">
      <c r="A82" s="95" t="s">
        <v>20</v>
      </c>
      <c r="B82" s="93" t="s">
        <v>21</v>
      </c>
      <c r="C82" s="94"/>
      <c r="D82" s="94"/>
      <c r="E82" s="93" t="s">
        <v>22</v>
      </c>
      <c r="F82" s="94"/>
      <c r="G82" s="94"/>
      <c r="H82" s="93" t="s">
        <v>23</v>
      </c>
      <c r="I82" s="94"/>
      <c r="J82" s="94"/>
      <c r="K82" s="93" t="s">
        <v>24</v>
      </c>
      <c r="L82" s="94"/>
      <c r="M82" s="94"/>
      <c r="N82" s="94"/>
      <c r="O82" s="94"/>
      <c r="P82" s="93" t="s">
        <v>25</v>
      </c>
      <c r="Q82" s="93" t="s">
        <v>26</v>
      </c>
    </row>
    <row r="83" spans="1:17" x14ac:dyDescent="0.25">
      <c r="A83" s="94"/>
      <c r="B83" s="43" t="s">
        <v>27</v>
      </c>
      <c r="C83" s="43" t="s">
        <v>28</v>
      </c>
      <c r="D83" s="44">
        <v>46058</v>
      </c>
      <c r="E83" s="43" t="s">
        <v>27</v>
      </c>
      <c r="F83" s="43" t="s">
        <v>28</v>
      </c>
      <c r="G83" s="44">
        <v>46058</v>
      </c>
      <c r="H83" s="43" t="s">
        <v>27</v>
      </c>
      <c r="I83" s="43" t="s">
        <v>28</v>
      </c>
      <c r="J83" s="44">
        <v>46058</v>
      </c>
      <c r="K83" s="43" t="s">
        <v>27</v>
      </c>
      <c r="L83" s="43" t="s">
        <v>28</v>
      </c>
      <c r="M83" s="44">
        <v>46058</v>
      </c>
      <c r="N83" s="43" t="s">
        <v>29</v>
      </c>
      <c r="O83" s="43" t="s">
        <v>30</v>
      </c>
      <c r="P83" s="94"/>
      <c r="Q83" s="94"/>
    </row>
    <row r="84" spans="1:17" ht="57.6" customHeight="1" x14ac:dyDescent="0.25">
      <c r="A84" s="43" t="s">
        <v>70</v>
      </c>
      <c r="B84" s="43"/>
      <c r="C84" s="43"/>
      <c r="D84" s="43"/>
      <c r="E84" s="43"/>
      <c r="F84" s="43"/>
      <c r="G84" s="43"/>
      <c r="H84" s="43"/>
      <c r="I84" s="43"/>
      <c r="J84" s="43"/>
      <c r="K84" s="43">
        <v>0</v>
      </c>
      <c r="L84" s="45">
        <v>0</v>
      </c>
      <c r="M84" s="45">
        <v>0</v>
      </c>
      <c r="N84" s="43">
        <v>0</v>
      </c>
      <c r="O84" s="43">
        <v>0</v>
      </c>
      <c r="P84" s="43"/>
      <c r="Q84" s="43">
        <v>1</v>
      </c>
    </row>
    <row r="85" spans="1:17" ht="72" customHeight="1" x14ac:dyDescent="0.25">
      <c r="A85" s="43" t="s">
        <v>71</v>
      </c>
      <c r="B85" s="43"/>
      <c r="C85" s="43"/>
      <c r="D85" s="43"/>
      <c r="E85" s="43"/>
      <c r="F85" s="43"/>
      <c r="G85" s="43"/>
      <c r="H85" s="43"/>
      <c r="I85" s="43"/>
      <c r="J85" s="43"/>
      <c r="K85" s="43">
        <v>1</v>
      </c>
      <c r="L85" s="45">
        <v>0</v>
      </c>
      <c r="M85" s="45">
        <v>0</v>
      </c>
      <c r="N85" s="43">
        <v>2</v>
      </c>
      <c r="O85" s="43">
        <v>2</v>
      </c>
      <c r="P85" s="43"/>
      <c r="Q85" s="43">
        <v>1</v>
      </c>
    </row>
    <row r="86" spans="1:17" ht="57.6" customHeight="1" x14ac:dyDescent="0.25">
      <c r="A86" s="43" t="s">
        <v>72</v>
      </c>
      <c r="B86" s="43"/>
      <c r="C86" s="43"/>
      <c r="D86" s="43"/>
      <c r="E86" s="43"/>
      <c r="F86" s="43"/>
      <c r="G86" s="43"/>
      <c r="H86" s="43"/>
      <c r="I86" s="43"/>
      <c r="J86" s="43"/>
      <c r="K86" s="43">
        <v>1</v>
      </c>
      <c r="L86" s="45">
        <v>1</v>
      </c>
      <c r="M86" s="45">
        <v>0</v>
      </c>
      <c r="N86" s="43">
        <v>6</v>
      </c>
      <c r="O86" s="43">
        <v>6</v>
      </c>
      <c r="P86" s="43"/>
      <c r="Q86" s="43">
        <v>1</v>
      </c>
    </row>
    <row r="87" spans="1:17" ht="72" customHeight="1" x14ac:dyDescent="0.25">
      <c r="A87" s="46" t="s">
        <v>73</v>
      </c>
      <c r="B87" s="46">
        <v>64</v>
      </c>
      <c r="C87" s="47">
        <v>0.59399999999999997</v>
      </c>
      <c r="D87" s="47">
        <v>0.188</v>
      </c>
      <c r="E87" s="46">
        <v>32</v>
      </c>
      <c r="F87" s="47">
        <v>0.71899999999999997</v>
      </c>
      <c r="G87" s="47">
        <v>9.4E-2</v>
      </c>
      <c r="H87" s="46">
        <v>32</v>
      </c>
      <c r="I87" s="47">
        <v>0.71899999999999997</v>
      </c>
      <c r="J87" s="47">
        <v>9.4E-2</v>
      </c>
      <c r="K87" s="46">
        <v>2</v>
      </c>
      <c r="L87" s="46"/>
      <c r="M87" s="46"/>
      <c r="N87" s="43"/>
      <c r="O87" s="43"/>
      <c r="P87" s="43"/>
      <c r="Q87" s="46">
        <v>3</v>
      </c>
    </row>
  </sheetData>
  <mergeCells count="48">
    <mergeCell ref="A26:A27"/>
    <mergeCell ref="K50:O50"/>
    <mergeCell ref="E26:G26"/>
    <mergeCell ref="Q50:Q51"/>
    <mergeCell ref="A43:Q44"/>
    <mergeCell ref="B26:D26"/>
    <mergeCell ref="Q26:Q27"/>
    <mergeCell ref="A45:A46"/>
    <mergeCell ref="A50:A51"/>
    <mergeCell ref="P50:P51"/>
    <mergeCell ref="K45:O45"/>
    <mergeCell ref="H45:J45"/>
    <mergeCell ref="K26:O26"/>
    <mergeCell ref="E45:G45"/>
    <mergeCell ref="B45:D45"/>
    <mergeCell ref="B50:D50"/>
    <mergeCell ref="E50:G50"/>
    <mergeCell ref="H59:J59"/>
    <mergeCell ref="A75:Q76"/>
    <mergeCell ref="P59:P60"/>
    <mergeCell ref="E59:G59"/>
    <mergeCell ref="A57:Q58"/>
    <mergeCell ref="B59:D59"/>
    <mergeCell ref="P82:P83"/>
    <mergeCell ref="Q59:Q60"/>
    <mergeCell ref="H77:J77"/>
    <mergeCell ref="K59:O59"/>
    <mergeCell ref="B82:D82"/>
    <mergeCell ref="Q82:Q83"/>
    <mergeCell ref="K77:O77"/>
    <mergeCell ref="P77:P78"/>
    <mergeCell ref="E77:G77"/>
    <mergeCell ref="A24:Q25"/>
    <mergeCell ref="K82:O82"/>
    <mergeCell ref="H50:J50"/>
    <mergeCell ref="P26:P27"/>
    <mergeCell ref="A59:A60"/>
    <mergeCell ref="Q77:Q78"/>
    <mergeCell ref="E82:G82"/>
    <mergeCell ref="A82:A83"/>
    <mergeCell ref="B77:D77"/>
    <mergeCell ref="P45:P46"/>
    <mergeCell ref="A80:Q81"/>
    <mergeCell ref="A77:A78"/>
    <mergeCell ref="H26:J26"/>
    <mergeCell ref="H82:J82"/>
    <mergeCell ref="Q45:Q46"/>
    <mergeCell ref="A48:Q49"/>
  </mergeCells>
  <hyperlinks>
    <hyperlink ref="A2" r:id="rId1" display="https://www.scei-concours.fr/stat2025/tb.html" xr:uid="{00000000-0004-0000-0500-000000000000}"/>
    <hyperlink ref="A3" r:id="rId2" display="https://www.scei-concours.fr/stat2025/bcpst.html" xr:uid="{00000000-0004-0000-0500-000001000000}"/>
    <hyperlink ref="A4" r:id="rId3" display="https://www.scei-concours.fr/stat2025/mp.html" xr:uid="{00000000-0004-0000-0500-000002000000}"/>
    <hyperlink ref="A5" r:id="rId4" display="https://www.scei-concours.fr/stat2025/mpi.html" xr:uid="{00000000-0004-0000-0500-000003000000}"/>
    <hyperlink ref="A6" r:id="rId5" display="https://www.scei-concours.fr/stat2025/pc.html" xr:uid="{00000000-0004-0000-0500-000004000000}"/>
    <hyperlink ref="A7" r:id="rId6" display="https://www.scei-concours.fr/stat2025/psi.html" xr:uid="{00000000-0004-0000-0500-000005000000}"/>
    <hyperlink ref="A8" r:id="rId7" display="https://www.scei-concours.fr/stat2025/pt.html" xr:uid="{00000000-0004-0000-0500-000006000000}"/>
    <hyperlink ref="A9" r:id="rId8" display="https://www.scei-concours.fr/stat2025/tsi.html" xr:uid="{00000000-0004-0000-0500-000007000000}"/>
    <hyperlink ref="A10" r:id="rId9" display="https://www.scei-concours.fr/stat2025/tb.html" xr:uid="{00000000-0004-0000-0500-000008000000}"/>
    <hyperlink ref="A11" r:id="rId10" display="https://www.scei-concours.fr/stat2025/tpc.html" xr:uid="{00000000-0004-0000-0500-000009000000}"/>
    <hyperlink ref="A15" r:id="rId11" location="rg27" display="https://www.scei-concours.fr/stat2025/tb.html - rg27" xr:uid="{00000000-0004-0000-0500-00000A000000}"/>
    <hyperlink ref="A16" r:id="rId12" location="rg25" display="https://www.scei-concours.fr/stat2025/tb.html - rg25" xr:uid="{00000000-0004-0000-0500-00000B000000}"/>
    <hyperlink ref="A17" r:id="rId13" location="rg28" display="https://www.scei-concours.fr/stat2025/tb.html - rg28" xr:uid="{00000000-0004-0000-0500-00000C000000}"/>
    <hyperlink ref="A18" r:id="rId14" location="rg29" display="https://www.scei-concours.fr/stat2025/tb.html - rg29" xr:uid="{00000000-0004-0000-0500-00000D000000}"/>
    <hyperlink ref="A19" r:id="rId15" location="rg30" display="https://www.scei-concours.fr/stat2025/tb.html - rg30" xr:uid="{00000000-0004-0000-0500-00000E000000}"/>
    <hyperlink ref="A20" r:id="rId16" location="rg52" display="https://www.scei-concours.fr/stat2025/tb.html - rg52" xr:uid="{00000000-0004-0000-0500-00000F000000}"/>
  </hyperlinks>
  <pageMargins left="0.7" right="0.7" top="0.75" bottom="0.75" header="0.3" footer="0.3"/>
  <drawing r:id="rId1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78"/>
  <sheetViews>
    <sheetView workbookViewId="0">
      <pane ySplit="3" topLeftCell="A4" activePane="bottomLeft" state="frozen"/>
      <selection pane="bottomLeft" activeCell="J44" sqref="J44"/>
    </sheetView>
  </sheetViews>
  <sheetFormatPr baseColWidth="10" defaultColWidth="8.85546875" defaultRowHeight="15" x14ac:dyDescent="0.25"/>
  <cols>
    <col min="1" max="1" width="26" customWidth="1"/>
    <col min="2" max="2" width="10" customWidth="1"/>
    <col min="3" max="3" width="38" customWidth="1"/>
    <col min="4" max="5" width="13" customWidth="1"/>
    <col min="6" max="6" width="10" customWidth="1"/>
    <col min="7" max="7" width="22" customWidth="1"/>
  </cols>
  <sheetData>
    <row r="1" spans="1:7" ht="22.15" customHeight="1" x14ac:dyDescent="0.25">
      <c r="A1" s="98" t="s">
        <v>906</v>
      </c>
      <c r="B1" s="94"/>
      <c r="C1" s="94"/>
      <c r="D1" s="94"/>
      <c r="E1" s="94"/>
      <c r="F1" s="94"/>
      <c r="G1" s="94"/>
    </row>
    <row r="2" spans="1:7" ht="37.9" customHeight="1" x14ac:dyDescent="0.25">
      <c r="A2" s="48" t="s">
        <v>907</v>
      </c>
      <c r="B2" s="48" t="s">
        <v>908</v>
      </c>
      <c r="C2" s="48" t="s">
        <v>909</v>
      </c>
      <c r="D2" s="48" t="s">
        <v>910</v>
      </c>
      <c r="E2" s="48" t="s">
        <v>911</v>
      </c>
      <c r="F2" s="48" t="s">
        <v>912</v>
      </c>
      <c r="G2" s="48" t="s">
        <v>913</v>
      </c>
    </row>
    <row r="3" spans="1:7" ht="31.9" customHeight="1" x14ac:dyDescent="0.25">
      <c r="A3" s="55" t="s">
        <v>914</v>
      </c>
      <c r="B3" s="55" t="s">
        <v>915</v>
      </c>
      <c r="C3" s="55" t="s">
        <v>916</v>
      </c>
      <c r="D3" s="55" t="s">
        <v>917</v>
      </c>
      <c r="E3" s="55" t="s">
        <v>918</v>
      </c>
      <c r="F3" s="55" t="s">
        <v>919</v>
      </c>
      <c r="G3" s="55" t="s">
        <v>920</v>
      </c>
    </row>
    <row r="4" spans="1:7" ht="16.149999999999999" customHeight="1" x14ac:dyDescent="0.25">
      <c r="A4" s="49" t="s">
        <v>126</v>
      </c>
      <c r="B4" s="49" t="s">
        <v>1</v>
      </c>
      <c r="C4" s="49"/>
      <c r="D4" s="50">
        <v>457</v>
      </c>
      <c r="E4" s="50">
        <v>721</v>
      </c>
      <c r="F4" s="50">
        <v>274</v>
      </c>
      <c r="G4" s="49" t="s">
        <v>1</v>
      </c>
    </row>
    <row r="5" spans="1:7" ht="16.149999999999999" customHeight="1" x14ac:dyDescent="0.25">
      <c r="A5" s="49" t="s">
        <v>37</v>
      </c>
      <c r="B5" s="49" t="s">
        <v>1</v>
      </c>
      <c r="C5" s="49"/>
      <c r="D5" s="50">
        <v>1500</v>
      </c>
      <c r="E5" s="50">
        <v>1796</v>
      </c>
      <c r="F5" s="50">
        <v>88</v>
      </c>
      <c r="G5" s="49" t="s">
        <v>1</v>
      </c>
    </row>
    <row r="6" spans="1:7" ht="16.149999999999999" customHeight="1" x14ac:dyDescent="0.25">
      <c r="A6" s="49" t="s">
        <v>122</v>
      </c>
      <c r="B6" s="49" t="s">
        <v>1</v>
      </c>
      <c r="C6" s="49"/>
      <c r="D6" s="50">
        <v>1773</v>
      </c>
      <c r="E6" s="50">
        <v>2000</v>
      </c>
      <c r="F6" s="50">
        <v>89</v>
      </c>
      <c r="G6" s="49" t="s">
        <v>1</v>
      </c>
    </row>
    <row r="7" spans="1:7" ht="16.149999999999999" customHeight="1" x14ac:dyDescent="0.25">
      <c r="A7" s="49" t="s">
        <v>212</v>
      </c>
      <c r="B7" s="49" t="s">
        <v>1</v>
      </c>
      <c r="C7" s="49"/>
      <c r="D7" s="50">
        <v>1773</v>
      </c>
      <c r="E7" s="50">
        <v>1768</v>
      </c>
      <c r="F7" s="50">
        <v>88</v>
      </c>
      <c r="G7" s="49" t="s">
        <v>1</v>
      </c>
    </row>
    <row r="8" spans="1:7" ht="16.149999999999999" customHeight="1" x14ac:dyDescent="0.25">
      <c r="A8" s="49" t="s">
        <v>700</v>
      </c>
      <c r="B8" s="49" t="s">
        <v>1</v>
      </c>
      <c r="C8" s="49"/>
      <c r="D8" s="50">
        <v>1984</v>
      </c>
      <c r="E8" s="50">
        <v>1984</v>
      </c>
      <c r="F8" s="50">
        <v>1</v>
      </c>
      <c r="G8" s="49" t="s">
        <v>1</v>
      </c>
    </row>
    <row r="9" spans="1:7" ht="16.149999999999999" customHeight="1" x14ac:dyDescent="0.25">
      <c r="A9" s="49" t="s">
        <v>104</v>
      </c>
      <c r="B9" s="49" t="s">
        <v>1</v>
      </c>
      <c r="C9" s="49" t="s">
        <v>921</v>
      </c>
      <c r="D9" s="50">
        <v>1544</v>
      </c>
      <c r="E9" s="50">
        <v>1824</v>
      </c>
      <c r="F9" s="50">
        <v>30</v>
      </c>
      <c r="G9" s="49" t="s">
        <v>1</v>
      </c>
    </row>
    <row r="10" spans="1:7" ht="16.149999999999999" customHeight="1" x14ac:dyDescent="0.25">
      <c r="A10" s="49" t="s">
        <v>104</v>
      </c>
      <c r="B10" s="49" t="s">
        <v>1</v>
      </c>
      <c r="C10" s="49" t="s">
        <v>922</v>
      </c>
      <c r="D10" s="50">
        <v>1858</v>
      </c>
      <c r="E10" s="50">
        <v>2161</v>
      </c>
      <c r="F10" s="50">
        <v>40</v>
      </c>
      <c r="G10" s="49" t="s">
        <v>1</v>
      </c>
    </row>
    <row r="11" spans="1:7" ht="16.149999999999999" customHeight="1" x14ac:dyDescent="0.25">
      <c r="A11" s="49" t="s">
        <v>104</v>
      </c>
      <c r="B11" s="49" t="s">
        <v>1</v>
      </c>
      <c r="C11" s="49" t="s">
        <v>923</v>
      </c>
      <c r="D11" s="50">
        <v>2006</v>
      </c>
      <c r="E11" s="50">
        <v>2212</v>
      </c>
      <c r="F11" s="50">
        <v>28</v>
      </c>
      <c r="G11" s="49" t="s">
        <v>1</v>
      </c>
    </row>
    <row r="12" spans="1:7" ht="16.149999999999999" customHeight="1" x14ac:dyDescent="0.25">
      <c r="A12" s="49" t="s">
        <v>99</v>
      </c>
      <c r="B12" s="49" t="s">
        <v>1</v>
      </c>
      <c r="C12" s="49" t="s">
        <v>924</v>
      </c>
      <c r="D12" s="50"/>
      <c r="E12" s="50">
        <v>1239</v>
      </c>
      <c r="F12" s="50">
        <v>113</v>
      </c>
      <c r="G12" s="49" t="s">
        <v>1</v>
      </c>
    </row>
    <row r="13" spans="1:7" ht="16.149999999999999" customHeight="1" x14ac:dyDescent="0.25">
      <c r="A13" s="49" t="s">
        <v>99</v>
      </c>
      <c r="B13" s="49" t="s">
        <v>1</v>
      </c>
      <c r="C13" s="49" t="s">
        <v>925</v>
      </c>
      <c r="D13" s="50"/>
      <c r="E13" s="50">
        <v>1240</v>
      </c>
      <c r="F13" s="50">
        <v>11</v>
      </c>
      <c r="G13" s="49" t="s">
        <v>1</v>
      </c>
    </row>
    <row r="14" spans="1:7" ht="16.149999999999999" customHeight="1" x14ac:dyDescent="0.25">
      <c r="A14" s="49" t="s">
        <v>283</v>
      </c>
      <c r="B14" s="49" t="s">
        <v>1</v>
      </c>
      <c r="C14" s="49" t="s">
        <v>924</v>
      </c>
      <c r="D14" s="50"/>
      <c r="E14" s="50">
        <v>1474</v>
      </c>
      <c r="F14" s="50">
        <v>137</v>
      </c>
      <c r="G14" s="49" t="s">
        <v>1</v>
      </c>
    </row>
    <row r="15" spans="1:7" ht="16.149999999999999" customHeight="1" x14ac:dyDescent="0.25">
      <c r="A15" s="49" t="s">
        <v>188</v>
      </c>
      <c r="B15" s="49" t="s">
        <v>1</v>
      </c>
      <c r="C15" s="49" t="s">
        <v>926</v>
      </c>
      <c r="D15" s="50"/>
      <c r="E15" s="50">
        <v>2188</v>
      </c>
      <c r="F15" s="50">
        <v>43</v>
      </c>
      <c r="G15" s="49" t="s">
        <v>1</v>
      </c>
    </row>
    <row r="16" spans="1:7" ht="16.149999999999999" customHeight="1" x14ac:dyDescent="0.25">
      <c r="A16" s="49" t="s">
        <v>112</v>
      </c>
      <c r="B16" s="49" t="s">
        <v>1</v>
      </c>
      <c r="C16" s="49"/>
      <c r="D16" s="50">
        <v>1500</v>
      </c>
      <c r="E16" s="50">
        <v>2210</v>
      </c>
      <c r="F16" s="50">
        <v>53</v>
      </c>
      <c r="G16" s="49" t="s">
        <v>1</v>
      </c>
    </row>
    <row r="17" spans="1:7" ht="16.149999999999999" customHeight="1" x14ac:dyDescent="0.25">
      <c r="A17" s="49" t="s">
        <v>115</v>
      </c>
      <c r="B17" s="49" t="s">
        <v>1</v>
      </c>
      <c r="C17" s="49"/>
      <c r="D17" s="50">
        <v>1998</v>
      </c>
      <c r="E17" s="50">
        <v>2206</v>
      </c>
      <c r="F17" s="50">
        <v>23</v>
      </c>
      <c r="G17" s="49" t="s">
        <v>1</v>
      </c>
    </row>
    <row r="18" spans="1:7" ht="16.149999999999999" customHeight="1" x14ac:dyDescent="0.25">
      <c r="A18" s="49" t="s">
        <v>345</v>
      </c>
      <c r="B18" s="49" t="s">
        <v>1</v>
      </c>
      <c r="C18" s="49"/>
      <c r="D18" s="50">
        <v>126</v>
      </c>
      <c r="E18" s="50">
        <v>282</v>
      </c>
      <c r="F18" s="50">
        <v>68</v>
      </c>
      <c r="G18" s="49" t="s">
        <v>1</v>
      </c>
    </row>
    <row r="19" spans="1:7" ht="16.149999999999999" customHeight="1" x14ac:dyDescent="0.25">
      <c r="A19" s="49" t="s">
        <v>142</v>
      </c>
      <c r="B19" s="49" t="s">
        <v>1</v>
      </c>
      <c r="C19" s="49"/>
      <c r="D19" s="50">
        <v>61</v>
      </c>
      <c r="E19" s="50">
        <v>306</v>
      </c>
      <c r="F19" s="50">
        <v>68</v>
      </c>
      <c r="G19" s="49" t="s">
        <v>1</v>
      </c>
    </row>
    <row r="20" spans="1:7" ht="16.149999999999999" customHeight="1" x14ac:dyDescent="0.25">
      <c r="A20" s="49" t="s">
        <v>258</v>
      </c>
      <c r="B20" s="49" t="s">
        <v>1</v>
      </c>
      <c r="C20" s="49"/>
      <c r="D20" s="50">
        <v>1998</v>
      </c>
      <c r="E20" s="50">
        <v>363</v>
      </c>
      <c r="F20" s="50">
        <v>68</v>
      </c>
      <c r="G20" s="49" t="s">
        <v>1</v>
      </c>
    </row>
    <row r="21" spans="1:7" ht="16.149999999999999" customHeight="1" x14ac:dyDescent="0.25">
      <c r="A21" s="49" t="s">
        <v>370</v>
      </c>
      <c r="B21" s="49" t="s">
        <v>1</v>
      </c>
      <c r="C21" s="49"/>
      <c r="D21" s="50">
        <v>161</v>
      </c>
      <c r="E21" s="50">
        <v>295</v>
      </c>
      <c r="F21" s="50">
        <v>68</v>
      </c>
      <c r="G21" s="49" t="s">
        <v>1</v>
      </c>
    </row>
    <row r="22" spans="1:7" ht="16.149999999999999" customHeight="1" x14ac:dyDescent="0.25">
      <c r="A22" s="49" t="s">
        <v>794</v>
      </c>
      <c r="B22" s="49" t="s">
        <v>1</v>
      </c>
      <c r="C22" s="49"/>
      <c r="D22" s="50">
        <v>556</v>
      </c>
      <c r="E22" s="50">
        <v>684</v>
      </c>
      <c r="F22" s="50">
        <v>9</v>
      </c>
      <c r="G22" s="49" t="s">
        <v>1</v>
      </c>
    </row>
    <row r="23" spans="1:7" ht="16.149999999999999" customHeight="1" x14ac:dyDescent="0.25">
      <c r="A23" s="49" t="s">
        <v>805</v>
      </c>
      <c r="B23" s="49" t="s">
        <v>1</v>
      </c>
      <c r="C23" s="49"/>
      <c r="D23" s="50">
        <v>410</v>
      </c>
      <c r="E23" s="50">
        <v>423</v>
      </c>
      <c r="F23" s="50">
        <v>3</v>
      </c>
      <c r="G23" s="49" t="s">
        <v>1</v>
      </c>
    </row>
    <row r="24" spans="1:7" ht="16.149999999999999" customHeight="1" x14ac:dyDescent="0.25">
      <c r="A24" s="49" t="s">
        <v>810</v>
      </c>
      <c r="B24" s="49" t="s">
        <v>1</v>
      </c>
      <c r="C24" s="49"/>
      <c r="D24" s="50">
        <v>192</v>
      </c>
      <c r="E24" s="50">
        <v>197</v>
      </c>
      <c r="F24" s="50">
        <v>2</v>
      </c>
      <c r="G24" s="49" t="s">
        <v>1</v>
      </c>
    </row>
    <row r="25" spans="1:7" ht="16.149999999999999" customHeight="1" x14ac:dyDescent="0.25">
      <c r="A25" s="49" t="s">
        <v>800</v>
      </c>
      <c r="B25" s="49" t="s">
        <v>1</v>
      </c>
      <c r="C25" s="49"/>
      <c r="D25" s="50">
        <v>84</v>
      </c>
      <c r="E25" s="50">
        <v>123</v>
      </c>
      <c r="F25" s="50">
        <v>4</v>
      </c>
      <c r="G25" s="49" t="s">
        <v>1</v>
      </c>
    </row>
    <row r="26" spans="1:7" ht="16.149999999999999" customHeight="1" x14ac:dyDescent="0.25">
      <c r="A26" s="49" t="s">
        <v>815</v>
      </c>
      <c r="B26" s="49" t="s">
        <v>1</v>
      </c>
      <c r="C26" s="49"/>
      <c r="D26" s="50">
        <v>12</v>
      </c>
      <c r="E26" s="50">
        <v>16</v>
      </c>
      <c r="F26" s="50">
        <v>2</v>
      </c>
      <c r="G26" s="49" t="s">
        <v>1</v>
      </c>
    </row>
    <row r="27" spans="1:7" ht="16.149999999999999" customHeight="1" x14ac:dyDescent="0.25">
      <c r="A27" s="49" t="s">
        <v>820</v>
      </c>
      <c r="B27" s="49" t="s">
        <v>1</v>
      </c>
      <c r="C27" s="49"/>
      <c r="D27" s="50">
        <v>512</v>
      </c>
      <c r="E27" s="50">
        <v>522</v>
      </c>
      <c r="F27" s="50">
        <v>3</v>
      </c>
      <c r="G27" s="49" t="s">
        <v>1</v>
      </c>
    </row>
    <row r="28" spans="1:7" ht="16.149999999999999" customHeight="1" x14ac:dyDescent="0.25">
      <c r="A28" s="51" t="s">
        <v>126</v>
      </c>
      <c r="B28" s="51" t="s">
        <v>8</v>
      </c>
      <c r="C28" s="51"/>
      <c r="D28" s="52">
        <v>19</v>
      </c>
      <c r="E28" s="52">
        <v>47</v>
      </c>
      <c r="F28" s="52">
        <v>12</v>
      </c>
      <c r="G28" s="51" t="s">
        <v>8</v>
      </c>
    </row>
    <row r="29" spans="1:7" ht="16.149999999999999" customHeight="1" x14ac:dyDescent="0.25">
      <c r="A29" s="51" t="s">
        <v>283</v>
      </c>
      <c r="B29" s="51" t="s">
        <v>8</v>
      </c>
      <c r="C29" s="51" t="s">
        <v>924</v>
      </c>
      <c r="D29" s="52"/>
      <c r="E29" s="52">
        <v>30</v>
      </c>
      <c r="F29" s="52">
        <v>4</v>
      </c>
      <c r="G29" s="51" t="s">
        <v>8</v>
      </c>
    </row>
    <row r="30" spans="1:7" ht="16.149999999999999" customHeight="1" x14ac:dyDescent="0.25">
      <c r="A30" s="51" t="s">
        <v>188</v>
      </c>
      <c r="B30" s="51" t="s">
        <v>8</v>
      </c>
      <c r="C30" s="51" t="s">
        <v>926</v>
      </c>
      <c r="D30" s="52"/>
      <c r="E30" s="52">
        <v>102</v>
      </c>
      <c r="F30" s="52">
        <v>2</v>
      </c>
      <c r="G30" s="51" t="s">
        <v>8</v>
      </c>
    </row>
    <row r="31" spans="1:7" ht="16.149999999999999" customHeight="1" x14ac:dyDescent="0.25">
      <c r="A31" s="51" t="s">
        <v>104</v>
      </c>
      <c r="B31" s="51" t="s">
        <v>8</v>
      </c>
      <c r="C31" s="51" t="s">
        <v>923</v>
      </c>
      <c r="D31" s="52">
        <v>71</v>
      </c>
      <c r="E31" s="52">
        <v>99</v>
      </c>
      <c r="F31" s="52">
        <v>3</v>
      </c>
      <c r="G31" s="51" t="s">
        <v>8</v>
      </c>
    </row>
    <row r="32" spans="1:7" ht="16.149999999999999" customHeight="1" x14ac:dyDescent="0.25">
      <c r="A32" s="51" t="s">
        <v>104</v>
      </c>
      <c r="B32" s="51" t="s">
        <v>8</v>
      </c>
      <c r="C32" s="51" t="s">
        <v>921</v>
      </c>
      <c r="D32" s="52"/>
      <c r="E32" s="52">
        <v>60</v>
      </c>
      <c r="F32" s="52">
        <v>1</v>
      </c>
      <c r="G32" s="51" t="s">
        <v>8</v>
      </c>
    </row>
    <row r="33" spans="1:7" ht="16.149999999999999" customHeight="1" x14ac:dyDescent="0.25">
      <c r="A33" s="51" t="s">
        <v>37</v>
      </c>
      <c r="B33" s="51" t="s">
        <v>8</v>
      </c>
      <c r="C33" s="51"/>
      <c r="D33" s="52">
        <v>82</v>
      </c>
      <c r="E33" s="52">
        <v>100</v>
      </c>
      <c r="F33" s="52">
        <v>8</v>
      </c>
      <c r="G33" s="51" t="s">
        <v>8</v>
      </c>
    </row>
    <row r="34" spans="1:7" ht="16.149999999999999" customHeight="1" x14ac:dyDescent="0.25">
      <c r="A34" s="51" t="s">
        <v>232</v>
      </c>
      <c r="B34" s="51" t="s">
        <v>8</v>
      </c>
      <c r="C34" s="51"/>
      <c r="D34" s="52"/>
      <c r="E34" s="52">
        <v>103</v>
      </c>
      <c r="F34" s="52">
        <v>3</v>
      </c>
      <c r="G34" s="51" t="s">
        <v>8</v>
      </c>
    </row>
    <row r="35" spans="1:7" ht="16.149999999999999" customHeight="1" x14ac:dyDescent="0.25">
      <c r="A35" s="51" t="s">
        <v>122</v>
      </c>
      <c r="B35" s="51" t="s">
        <v>8</v>
      </c>
      <c r="C35" s="51"/>
      <c r="D35" s="52">
        <v>80</v>
      </c>
      <c r="E35" s="52">
        <v>97</v>
      </c>
      <c r="F35" s="52">
        <v>10</v>
      </c>
      <c r="G35" s="51" t="s">
        <v>8</v>
      </c>
    </row>
    <row r="36" spans="1:7" ht="16.149999999999999" customHeight="1" x14ac:dyDescent="0.25">
      <c r="A36" s="51" t="s">
        <v>212</v>
      </c>
      <c r="B36" s="51" t="s">
        <v>8</v>
      </c>
      <c r="C36" s="51"/>
      <c r="D36" s="52">
        <v>80</v>
      </c>
      <c r="E36" s="52">
        <v>55</v>
      </c>
      <c r="F36" s="52">
        <v>8</v>
      </c>
      <c r="G36" s="51" t="s">
        <v>8</v>
      </c>
    </row>
    <row r="37" spans="1:7" ht="16.149999999999999" customHeight="1" x14ac:dyDescent="0.25">
      <c r="A37" s="51" t="s">
        <v>99</v>
      </c>
      <c r="B37" s="51" t="s">
        <v>8</v>
      </c>
      <c r="C37" s="51" t="s">
        <v>924</v>
      </c>
      <c r="D37" s="52"/>
      <c r="E37" s="52">
        <v>61</v>
      </c>
      <c r="F37" s="52">
        <v>4</v>
      </c>
      <c r="G37" s="51" t="s">
        <v>8</v>
      </c>
    </row>
    <row r="38" spans="1:7" ht="16.149999999999999" customHeight="1" x14ac:dyDescent="0.25">
      <c r="A38" s="51" t="s">
        <v>99</v>
      </c>
      <c r="B38" s="51" t="s">
        <v>8</v>
      </c>
      <c r="C38" s="51" t="s">
        <v>925</v>
      </c>
      <c r="D38" s="52"/>
      <c r="E38" s="52">
        <v>101</v>
      </c>
      <c r="F38" s="52">
        <v>6</v>
      </c>
      <c r="G38" s="51" t="s">
        <v>8</v>
      </c>
    </row>
    <row r="39" spans="1:7" ht="16.149999999999999" customHeight="1" x14ac:dyDescent="0.25">
      <c r="A39" s="51" t="s">
        <v>115</v>
      </c>
      <c r="B39" s="51" t="s">
        <v>8</v>
      </c>
      <c r="C39" s="51"/>
      <c r="D39" s="52">
        <v>98</v>
      </c>
      <c r="E39" s="52">
        <v>105</v>
      </c>
      <c r="F39" s="52">
        <v>4</v>
      </c>
      <c r="G39" s="51" t="s">
        <v>8</v>
      </c>
    </row>
    <row r="40" spans="1:7" ht="16.149999999999999" customHeight="1" x14ac:dyDescent="0.25">
      <c r="A40" s="51" t="s">
        <v>112</v>
      </c>
      <c r="B40" s="51" t="s">
        <v>8</v>
      </c>
      <c r="C40" s="51"/>
      <c r="D40" s="52">
        <v>27</v>
      </c>
      <c r="E40" s="52">
        <v>98</v>
      </c>
      <c r="F40" s="52">
        <v>5</v>
      </c>
      <c r="G40" s="51" t="s">
        <v>8</v>
      </c>
    </row>
    <row r="41" spans="1:7" ht="16.149999999999999" customHeight="1" x14ac:dyDescent="0.25">
      <c r="A41" s="56" t="s">
        <v>345</v>
      </c>
      <c r="B41" s="56" t="s">
        <v>8</v>
      </c>
      <c r="C41" s="56"/>
      <c r="D41" s="57">
        <v>10</v>
      </c>
      <c r="E41" s="57">
        <v>12</v>
      </c>
      <c r="F41" s="57">
        <v>2</v>
      </c>
      <c r="G41" s="56" t="s">
        <v>927</v>
      </c>
    </row>
    <row r="42" spans="1:7" ht="16.149999999999999" customHeight="1" x14ac:dyDescent="0.25">
      <c r="A42" s="51" t="s">
        <v>142</v>
      </c>
      <c r="B42" s="51" t="s">
        <v>8</v>
      </c>
      <c r="C42" s="51"/>
      <c r="D42" s="52">
        <v>70</v>
      </c>
      <c r="E42" s="52">
        <v>10</v>
      </c>
      <c r="F42" s="52">
        <v>2</v>
      </c>
      <c r="G42" s="51" t="s">
        <v>8</v>
      </c>
    </row>
    <row r="43" spans="1:7" ht="16.149999999999999" customHeight="1" x14ac:dyDescent="0.25">
      <c r="A43" s="51" t="s">
        <v>258</v>
      </c>
      <c r="B43" s="51" t="s">
        <v>8</v>
      </c>
      <c r="C43" s="51"/>
      <c r="D43" s="52">
        <v>98</v>
      </c>
      <c r="E43" s="52">
        <v>11</v>
      </c>
      <c r="F43" s="52">
        <v>2</v>
      </c>
      <c r="G43" s="51" t="s">
        <v>8</v>
      </c>
    </row>
    <row r="44" spans="1:7" ht="16.149999999999999" customHeight="1" x14ac:dyDescent="0.25">
      <c r="A44" s="56" t="s">
        <v>370</v>
      </c>
      <c r="B44" s="56" t="s">
        <v>8</v>
      </c>
      <c r="C44" s="56"/>
      <c r="D44" s="57">
        <v>3</v>
      </c>
      <c r="E44" s="57">
        <v>6</v>
      </c>
      <c r="F44" s="57">
        <v>3</v>
      </c>
      <c r="G44" s="56" t="s">
        <v>927</v>
      </c>
    </row>
    <row r="45" spans="1:7" ht="16.149999999999999" customHeight="1" x14ac:dyDescent="0.25">
      <c r="A45" s="60" t="s">
        <v>745</v>
      </c>
      <c r="B45" s="60" t="s">
        <v>557</v>
      </c>
      <c r="C45" s="60"/>
      <c r="D45" s="61">
        <v>539</v>
      </c>
      <c r="E45" s="61">
        <v>643</v>
      </c>
      <c r="F45" s="61">
        <v>8</v>
      </c>
      <c r="G45" s="60" t="s">
        <v>557</v>
      </c>
    </row>
    <row r="46" spans="1:7" ht="16.149999999999999" customHeight="1" x14ac:dyDescent="0.25">
      <c r="A46" s="53" t="s">
        <v>232</v>
      </c>
      <c r="B46" s="53" t="s">
        <v>557</v>
      </c>
      <c r="C46" s="53"/>
      <c r="D46" s="54"/>
      <c r="E46" s="54">
        <v>383</v>
      </c>
      <c r="F46" s="54">
        <v>8</v>
      </c>
      <c r="G46" s="53" t="s">
        <v>557</v>
      </c>
    </row>
    <row r="47" spans="1:7" ht="16.149999999999999" customHeight="1" x14ac:dyDescent="0.25">
      <c r="A47" s="53" t="s">
        <v>88</v>
      </c>
      <c r="B47" s="53" t="s">
        <v>557</v>
      </c>
      <c r="C47" s="53"/>
      <c r="D47" s="54">
        <v>544</v>
      </c>
      <c r="E47" s="62"/>
      <c r="F47" s="54">
        <v>3</v>
      </c>
      <c r="G47" s="53" t="s">
        <v>557</v>
      </c>
    </row>
    <row r="48" spans="1:7" ht="16.149999999999999" customHeight="1" x14ac:dyDescent="0.25">
      <c r="A48" s="53" t="s">
        <v>88</v>
      </c>
      <c r="B48" s="53" t="s">
        <v>557</v>
      </c>
      <c r="C48" s="53" t="s">
        <v>943</v>
      </c>
      <c r="D48" s="54">
        <v>190</v>
      </c>
      <c r="E48" s="62"/>
      <c r="F48" s="54">
        <v>70</v>
      </c>
      <c r="G48" s="53" t="s">
        <v>557</v>
      </c>
    </row>
    <row r="49" spans="1:7" ht="16.149999999999999" customHeight="1" x14ac:dyDescent="0.25">
      <c r="A49" s="53" t="s">
        <v>88</v>
      </c>
      <c r="B49" s="53" t="s">
        <v>557</v>
      </c>
      <c r="C49" s="53" t="s">
        <v>80</v>
      </c>
      <c r="D49" s="54">
        <v>366</v>
      </c>
      <c r="E49" s="62"/>
      <c r="F49" s="54">
        <v>4</v>
      </c>
      <c r="G49" s="53" t="s">
        <v>557</v>
      </c>
    </row>
    <row r="50" spans="1:7" ht="16.149999999999999" customHeight="1" x14ac:dyDescent="0.25">
      <c r="A50" s="56" t="s">
        <v>740</v>
      </c>
      <c r="B50" s="56" t="s">
        <v>557</v>
      </c>
      <c r="C50" s="56"/>
      <c r="D50" s="57">
        <v>8</v>
      </c>
      <c r="E50" s="57">
        <v>581</v>
      </c>
      <c r="F50" s="57">
        <v>20</v>
      </c>
      <c r="G50" s="56" t="s">
        <v>557</v>
      </c>
    </row>
    <row r="51" spans="1:7" ht="16.149999999999999" customHeight="1" x14ac:dyDescent="0.25">
      <c r="A51" s="58" t="s">
        <v>750</v>
      </c>
      <c r="B51" s="58" t="s">
        <v>557</v>
      </c>
      <c r="C51" s="58"/>
      <c r="D51" s="59">
        <v>1</v>
      </c>
      <c r="E51" s="59">
        <v>686</v>
      </c>
      <c r="F51" s="59">
        <v>3</v>
      </c>
      <c r="G51" s="58" t="s">
        <v>928</v>
      </c>
    </row>
    <row r="52" spans="1:7" ht="16.149999999999999" customHeight="1" x14ac:dyDescent="0.25">
      <c r="A52" s="53" t="s">
        <v>706</v>
      </c>
      <c r="B52" s="53" t="s">
        <v>557</v>
      </c>
      <c r="C52" s="53"/>
      <c r="D52" s="54"/>
      <c r="E52" s="54">
        <v>198</v>
      </c>
      <c r="F52" s="54">
        <v>7</v>
      </c>
      <c r="G52" s="53" t="s">
        <v>557</v>
      </c>
    </row>
    <row r="53" spans="1:7" ht="16.149999999999999" customHeight="1" x14ac:dyDescent="0.25">
      <c r="A53" s="53" t="s">
        <v>712</v>
      </c>
      <c r="B53" s="53" t="s">
        <v>557</v>
      </c>
      <c r="C53" s="53"/>
      <c r="D53" s="54"/>
      <c r="E53" s="54">
        <v>297</v>
      </c>
      <c r="F53" s="54">
        <v>5</v>
      </c>
      <c r="G53" s="53" t="s">
        <v>557</v>
      </c>
    </row>
    <row r="54" spans="1:7" ht="16.149999999999999" customHeight="1" x14ac:dyDescent="0.25">
      <c r="A54" s="53" t="s">
        <v>718</v>
      </c>
      <c r="B54" s="53" t="s">
        <v>557</v>
      </c>
      <c r="C54" s="53"/>
      <c r="D54" s="54"/>
      <c r="E54" s="54">
        <v>463</v>
      </c>
      <c r="F54" s="54">
        <v>3</v>
      </c>
      <c r="G54" s="53" t="s">
        <v>557</v>
      </c>
    </row>
    <row r="55" spans="1:7" ht="16.149999999999999" customHeight="1" x14ac:dyDescent="0.25">
      <c r="A55" s="56" t="s">
        <v>136</v>
      </c>
      <c r="B55" s="56" t="s">
        <v>1</v>
      </c>
      <c r="C55" s="56"/>
      <c r="D55" s="57">
        <v>30</v>
      </c>
      <c r="E55" s="57"/>
      <c r="F55" s="57">
        <v>11</v>
      </c>
      <c r="G55" s="56" t="s">
        <v>927</v>
      </c>
    </row>
    <row r="56" spans="1:7" ht="16.149999999999999" customHeight="1" x14ac:dyDescent="0.25">
      <c r="A56" s="56" t="s">
        <v>136</v>
      </c>
      <c r="B56" s="56" t="s">
        <v>8</v>
      </c>
      <c r="C56" s="56"/>
      <c r="D56" s="57">
        <v>3</v>
      </c>
      <c r="E56" s="57"/>
      <c r="F56" s="57">
        <v>1</v>
      </c>
      <c r="G56" s="56" t="s">
        <v>927</v>
      </c>
    </row>
    <row r="57" spans="1:7" ht="16.149999999999999" customHeight="1" x14ac:dyDescent="0.25">
      <c r="A57" s="58" t="s">
        <v>340</v>
      </c>
      <c r="B57" s="58" t="s">
        <v>1</v>
      </c>
      <c r="C57" s="58" t="s">
        <v>929</v>
      </c>
      <c r="D57" s="59">
        <v>904</v>
      </c>
      <c r="E57" s="59"/>
      <c r="F57" s="59">
        <v>6</v>
      </c>
      <c r="G57" s="58" t="s">
        <v>928</v>
      </c>
    </row>
    <row r="58" spans="1:7" ht="16.149999999999999" customHeight="1" x14ac:dyDescent="0.25">
      <c r="A58" s="58" t="s">
        <v>340</v>
      </c>
      <c r="B58" s="58" t="s">
        <v>8</v>
      </c>
      <c r="C58" s="58" t="s">
        <v>929</v>
      </c>
      <c r="D58" s="59">
        <v>30</v>
      </c>
      <c r="E58" s="59"/>
      <c r="F58" s="59">
        <v>1</v>
      </c>
      <c r="G58" s="58" t="s">
        <v>928</v>
      </c>
    </row>
    <row r="59" spans="1:7" ht="16.149999999999999" customHeight="1" x14ac:dyDescent="0.25">
      <c r="A59" s="58" t="s">
        <v>169</v>
      </c>
      <c r="B59" s="58" t="s">
        <v>1</v>
      </c>
      <c r="C59" s="58" t="s">
        <v>930</v>
      </c>
      <c r="D59" s="59">
        <v>733</v>
      </c>
      <c r="E59" s="59"/>
      <c r="F59" s="59">
        <v>3</v>
      </c>
      <c r="G59" s="58" t="s">
        <v>928</v>
      </c>
    </row>
    <row r="60" spans="1:7" ht="16.149999999999999" customHeight="1" x14ac:dyDescent="0.25">
      <c r="A60" s="58" t="s">
        <v>91</v>
      </c>
      <c r="B60" s="58" t="s">
        <v>1</v>
      </c>
      <c r="C60" s="58" t="s">
        <v>931</v>
      </c>
      <c r="D60" s="59">
        <v>821</v>
      </c>
      <c r="E60" s="59"/>
      <c r="F60" s="59">
        <v>14</v>
      </c>
      <c r="G60" s="58" t="s">
        <v>928</v>
      </c>
    </row>
    <row r="61" spans="1:7" ht="16.149999999999999" customHeight="1" x14ac:dyDescent="0.25">
      <c r="A61" s="58" t="s">
        <v>91</v>
      </c>
      <c r="B61" s="58" t="s">
        <v>8</v>
      </c>
      <c r="C61" s="58" t="s">
        <v>931</v>
      </c>
      <c r="D61" s="59">
        <v>55</v>
      </c>
      <c r="E61" s="59"/>
      <c r="F61" s="59">
        <v>1</v>
      </c>
      <c r="G61" s="58" t="s">
        <v>928</v>
      </c>
    </row>
    <row r="62" spans="1:7" ht="16.149999999999999" customHeight="1" x14ac:dyDescent="0.25">
      <c r="A62" s="58" t="s">
        <v>194</v>
      </c>
      <c r="B62" s="58" t="s">
        <v>1</v>
      </c>
      <c r="C62" s="58" t="s">
        <v>932</v>
      </c>
      <c r="D62" s="59">
        <v>828</v>
      </c>
      <c r="E62" s="59"/>
      <c r="F62" s="59">
        <v>3</v>
      </c>
      <c r="G62" s="58" t="s">
        <v>928</v>
      </c>
    </row>
    <row r="63" spans="1:7" ht="16.149999999999999" customHeight="1" x14ac:dyDescent="0.25">
      <c r="A63" s="58" t="s">
        <v>194</v>
      </c>
      <c r="B63" s="58" t="s">
        <v>8</v>
      </c>
      <c r="C63" s="58" t="s">
        <v>932</v>
      </c>
      <c r="D63" s="59">
        <v>52</v>
      </c>
      <c r="E63" s="59"/>
      <c r="F63" s="59">
        <v>1</v>
      </c>
      <c r="G63" s="58" t="s">
        <v>928</v>
      </c>
    </row>
    <row r="64" spans="1:7" ht="16.149999999999999" customHeight="1" x14ac:dyDescent="0.25">
      <c r="A64" s="58" t="s">
        <v>145</v>
      </c>
      <c r="B64" s="58" t="s">
        <v>1</v>
      </c>
      <c r="C64" s="58" t="s">
        <v>933</v>
      </c>
      <c r="D64" s="59">
        <v>817</v>
      </c>
      <c r="E64" s="59"/>
      <c r="F64" s="59">
        <v>8</v>
      </c>
      <c r="G64" s="58" t="s">
        <v>928</v>
      </c>
    </row>
    <row r="65" spans="1:7" ht="16.149999999999999" customHeight="1" x14ac:dyDescent="0.25">
      <c r="A65" s="58" t="s">
        <v>145</v>
      </c>
      <c r="B65" s="58" t="s">
        <v>8</v>
      </c>
      <c r="C65" s="58" t="s">
        <v>933</v>
      </c>
      <c r="D65" s="59">
        <v>48</v>
      </c>
      <c r="E65" s="59"/>
      <c r="F65" s="59">
        <v>1</v>
      </c>
      <c r="G65" s="58" t="s">
        <v>928</v>
      </c>
    </row>
    <row r="66" spans="1:7" ht="16.149999999999999" customHeight="1" x14ac:dyDescent="0.25">
      <c r="A66" s="58" t="s">
        <v>85</v>
      </c>
      <c r="B66" s="58" t="s">
        <v>1</v>
      </c>
      <c r="C66" s="58" t="s">
        <v>934</v>
      </c>
      <c r="D66" s="59">
        <v>910</v>
      </c>
      <c r="E66" s="59"/>
      <c r="F66" s="59">
        <v>6</v>
      </c>
      <c r="G66" s="58" t="s">
        <v>928</v>
      </c>
    </row>
    <row r="67" spans="1:7" ht="16.149999999999999" customHeight="1" x14ac:dyDescent="0.25">
      <c r="A67" s="58" t="s">
        <v>322</v>
      </c>
      <c r="B67" s="58" t="s">
        <v>1</v>
      </c>
      <c r="C67" s="58" t="s">
        <v>935</v>
      </c>
      <c r="D67" s="59">
        <v>612</v>
      </c>
      <c r="E67" s="59"/>
      <c r="F67" s="59">
        <v>9</v>
      </c>
      <c r="G67" s="58" t="s">
        <v>928</v>
      </c>
    </row>
    <row r="68" spans="1:7" ht="16.149999999999999" customHeight="1" x14ac:dyDescent="0.25">
      <c r="A68" s="58" t="s">
        <v>322</v>
      </c>
      <c r="B68" s="58" t="s">
        <v>8</v>
      </c>
      <c r="C68" s="58" t="s">
        <v>935</v>
      </c>
      <c r="D68" s="59">
        <v>26</v>
      </c>
      <c r="E68" s="59"/>
      <c r="F68" s="59">
        <v>1</v>
      </c>
      <c r="G68" s="58" t="s">
        <v>928</v>
      </c>
    </row>
    <row r="69" spans="1:7" ht="16.149999999999999" customHeight="1" x14ac:dyDescent="0.25">
      <c r="A69" s="58" t="s">
        <v>267</v>
      </c>
      <c r="B69" s="58" t="s">
        <v>1</v>
      </c>
      <c r="C69" s="58" t="s">
        <v>936</v>
      </c>
      <c r="D69" s="59">
        <v>834</v>
      </c>
      <c r="E69" s="59"/>
      <c r="F69" s="59">
        <v>6</v>
      </c>
      <c r="G69" s="58" t="s">
        <v>928</v>
      </c>
    </row>
    <row r="70" spans="1:7" ht="16.149999999999999" customHeight="1" x14ac:dyDescent="0.25">
      <c r="A70" s="58" t="s">
        <v>267</v>
      </c>
      <c r="B70" s="58" t="s">
        <v>8</v>
      </c>
      <c r="C70" s="58" t="s">
        <v>936</v>
      </c>
      <c r="D70" s="59">
        <v>49</v>
      </c>
      <c r="E70" s="59"/>
      <c r="F70" s="59">
        <v>1</v>
      </c>
      <c r="G70" s="58" t="s">
        <v>928</v>
      </c>
    </row>
    <row r="71" spans="1:7" ht="16.149999999999999" customHeight="1" x14ac:dyDescent="0.25">
      <c r="A71" s="58" t="s">
        <v>429</v>
      </c>
      <c r="B71" s="58" t="s">
        <v>1</v>
      </c>
      <c r="C71" s="58" t="s">
        <v>937</v>
      </c>
      <c r="D71" s="59">
        <v>1021</v>
      </c>
      <c r="E71" s="59"/>
      <c r="F71" s="59">
        <v>1</v>
      </c>
      <c r="G71" s="58" t="s">
        <v>928</v>
      </c>
    </row>
    <row r="72" spans="1:7" ht="16.149999999999999" customHeight="1" x14ac:dyDescent="0.25">
      <c r="A72" s="58" t="s">
        <v>459</v>
      </c>
      <c r="B72" s="58" t="s">
        <v>1</v>
      </c>
      <c r="C72" s="58" t="s">
        <v>938</v>
      </c>
      <c r="D72" s="59">
        <v>489</v>
      </c>
      <c r="E72" s="59"/>
      <c r="F72" s="59">
        <v>5</v>
      </c>
      <c r="G72" s="58" t="s">
        <v>928</v>
      </c>
    </row>
    <row r="73" spans="1:7" ht="16.149999999999999" customHeight="1" x14ac:dyDescent="0.25">
      <c r="A73" s="58" t="s">
        <v>730</v>
      </c>
      <c r="B73" s="58" t="s">
        <v>1</v>
      </c>
      <c r="C73" s="58" t="s">
        <v>939</v>
      </c>
      <c r="D73" s="59">
        <v>1000</v>
      </c>
      <c r="E73" s="59"/>
      <c r="F73" s="59">
        <v>6</v>
      </c>
      <c r="G73" s="58" t="s">
        <v>928</v>
      </c>
    </row>
    <row r="74" spans="1:7" ht="16.149999999999999" customHeight="1" x14ac:dyDescent="0.25">
      <c r="A74" s="58" t="s">
        <v>735</v>
      </c>
      <c r="B74" s="58" t="s">
        <v>1</v>
      </c>
      <c r="C74" s="58" t="s">
        <v>940</v>
      </c>
      <c r="D74" s="59">
        <v>1025</v>
      </c>
      <c r="E74" s="59"/>
      <c r="F74" s="59">
        <v>4</v>
      </c>
      <c r="G74" s="58" t="s">
        <v>928</v>
      </c>
    </row>
    <row r="75" spans="1:7" ht="16.149999999999999" customHeight="1" x14ac:dyDescent="0.25">
      <c r="A75" s="58" t="s">
        <v>197</v>
      </c>
      <c r="B75" s="58" t="s">
        <v>1</v>
      </c>
      <c r="C75" s="58" t="s">
        <v>941</v>
      </c>
      <c r="D75" s="59">
        <v>784</v>
      </c>
      <c r="E75" s="59"/>
      <c r="F75" s="59">
        <v>3</v>
      </c>
      <c r="G75" s="58" t="s">
        <v>928</v>
      </c>
    </row>
    <row r="76" spans="1:7" ht="16.149999999999999" customHeight="1" x14ac:dyDescent="0.25">
      <c r="A76" s="58" t="s">
        <v>197</v>
      </c>
      <c r="B76" s="58" t="s">
        <v>8</v>
      </c>
      <c r="C76" s="58" t="s">
        <v>941</v>
      </c>
      <c r="D76" s="59">
        <v>72</v>
      </c>
      <c r="E76" s="59"/>
      <c r="F76" s="59">
        <v>1</v>
      </c>
      <c r="G76" s="58" t="s">
        <v>928</v>
      </c>
    </row>
    <row r="78" spans="1:7" x14ac:dyDescent="0.25">
      <c r="A78" s="97" t="s">
        <v>942</v>
      </c>
      <c r="B78" s="94"/>
      <c r="C78" s="94"/>
      <c r="D78" s="94"/>
      <c r="E78" s="94"/>
      <c r="F78" s="94"/>
      <c r="G78" s="94"/>
    </row>
  </sheetData>
  <mergeCells count="2">
    <mergeCell ref="A78:G78"/>
    <mergeCell ref="A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Elèves_BCPST</vt:lpstr>
      <vt:lpstr>Elèves_TB</vt:lpstr>
      <vt:lpstr>Ecoles</vt:lpstr>
      <vt:lpstr>Listes validation</vt:lpstr>
      <vt:lpstr>Stats_BCPST</vt:lpstr>
      <vt:lpstr>Stats_TB</vt:lpstr>
      <vt:lpstr>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Bruno Laplanche</dc:creator>
  <cp:lastModifiedBy>Bruno Laplanche</cp:lastModifiedBy>
  <cp:revision>3</cp:revision>
  <dcterms:created xsi:type="dcterms:W3CDTF">2025-11-08T10:25:47Z</dcterms:created>
  <dcterms:modified xsi:type="dcterms:W3CDTF">2026-10-02T11:08:20Z</dcterms:modified>
</cp:coreProperties>
</file>